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40" yWindow="-170" windowWidth="29130" windowHeight="15810" tabRatio="680" firstSheet="0" activeTab="0" autoFilterDateGrouping="1"/>
  </bookViews>
  <sheets>
    <sheet xmlns:r="http://schemas.openxmlformats.org/officeDocument/2006/relationships" name="Suivi Global DP" sheetId="1" state="visible" r:id="rId1"/>
    <sheet xmlns:r="http://schemas.openxmlformats.org/officeDocument/2006/relationships" name="Base Frs Permanente" sheetId="2" state="visible" r:id="rId2"/>
    <sheet xmlns:r="http://schemas.openxmlformats.org/officeDocument/2006/relationships" name="Feuil1" sheetId="3" state="hidden" r:id="rId3"/>
    <sheet xmlns:r="http://schemas.openxmlformats.org/officeDocument/2006/relationships" name="SONDAGE" sheetId="4" state="hidden" r:id="rId4"/>
  </sheets>
  <definedNames>
    <definedName name="base">'Base Frs Permanente'!$C$4:$D$10</definedName>
    <definedName name="BaseFournisseurs">Tableau2[[N° Fournisseur]:[Délai (jours)]]</definedName>
    <definedName name="basefrs">'Base Frs Permanente'!$B$4:$D$10</definedName>
    <definedName name="pc">'Base Frs Permanente'!$B$4:$D$62</definedName>
    <definedName name="SuiviFrs">Tableau2[[Nom Fournisseur]:[Délai (jours)]]</definedName>
    <definedName name="xxx">'Base Frs Permanente'!$B$4:$C$8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Cambria"/>
      <family val="1"/>
      <b val="1"/>
      <sz val="11"/>
    </font>
    <font>
      <name val="Cambria"/>
      <family val="1"/>
      <b val="1"/>
      <sz val="12"/>
    </font>
    <font>
      <name val="Cambria"/>
      <family val="1"/>
      <b val="1"/>
      <color theme="1"/>
      <sz val="18"/>
    </font>
    <font>
      <name val="Cambria"/>
      <family val="1"/>
      <b val="1"/>
      <i val="1"/>
      <color theme="1"/>
      <sz val="11"/>
      <u val="single"/>
    </font>
    <font>
      <name val="Cambria"/>
      <family val="1"/>
      <color theme="1"/>
      <sz val="11"/>
    </font>
    <font>
      <name val="Cambria"/>
      <family val="1"/>
      <color theme="1"/>
      <sz val="11"/>
      <u val="single"/>
    </font>
    <font>
      <name val="Cambria"/>
      <family val="1"/>
      <b val="1"/>
      <color theme="1"/>
      <sz val="11"/>
    </font>
    <font>
      <name val="Cambria"/>
      <family val="1"/>
      <b val="1"/>
      <color theme="1"/>
      <sz val="14"/>
      <u val="single"/>
    </font>
    <font>
      <name val="Cambria"/>
      <family val="1"/>
      <b val="1"/>
      <color theme="1"/>
      <sz val="22"/>
      <u val="single"/>
    </font>
    <font>
      <name val="Cambria"/>
      <family val="1"/>
      <b val="1"/>
      <sz val="18"/>
    </font>
    <font>
      <name val="Calibri"/>
      <charset val="1"/>
      <family val="2"/>
      <sz val="8"/>
    </font>
    <font>
      <name val="Cambria"/>
      <color theme="1"/>
      <sz val="11"/>
    </font>
    <font>
      <name val="Calibri"/>
      <charset val="1"/>
      <family val="2"/>
      <b val="1"/>
      <color theme="1"/>
      <sz val="11"/>
    </font>
  </fonts>
  <fills count="8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5" fillId="2" borderId="1" applyAlignment="1" pivotButton="0" quotePrefix="1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4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1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vertical="center"/>
    </xf>
    <xf numFmtId="14" fontId="5" fillId="2" borderId="0" applyAlignment="1" pivotButton="0" quotePrefix="0" xfId="0">
      <alignment vertical="center"/>
    </xf>
    <xf numFmtId="1" fontId="5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vertical="center"/>
    </xf>
    <xf numFmtId="0" fontId="5" fillId="0" borderId="0" applyAlignment="1" applyProtection="1" pivotButton="0" quotePrefix="0" xfId="0">
      <alignment vertical="center"/>
      <protection locked="0" hidden="0"/>
    </xf>
    <xf numFmtId="14" fontId="5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14" fontId="8" fillId="0" borderId="0" applyAlignment="1" applyProtection="1" pivotButton="0" quotePrefix="0" xfId="0">
      <alignment horizontal="center" vertical="center"/>
      <protection locked="0" hidden="0"/>
    </xf>
    <xf numFmtId="0" fontId="7" fillId="5" borderId="0" applyAlignment="1" applyProtection="1" pivotButton="0" quotePrefix="0" xfId="0">
      <alignment vertical="center"/>
      <protection locked="0" hidden="0"/>
    </xf>
    <xf numFmtId="0" fontId="5" fillId="5" borderId="0" applyAlignment="1" applyProtection="1" pivotButton="0" quotePrefix="0" xfId="0">
      <alignment vertical="center"/>
      <protection locked="0" hidden="0"/>
    </xf>
    <xf numFmtId="0" fontId="4" fillId="3" borderId="0" applyAlignment="1" applyProtection="1" pivotButton="0" quotePrefix="0" xfId="0">
      <alignment horizontal="centerContinuous" vertical="center"/>
      <protection locked="0" hidden="0"/>
    </xf>
    <xf numFmtId="14" fontId="4" fillId="3" borderId="0" applyAlignment="1" applyProtection="1" pivotButton="0" quotePrefix="0" xfId="0">
      <alignment horizontal="centerContinuous" vertical="center"/>
      <protection locked="0" hidden="0"/>
    </xf>
    <xf numFmtId="0" fontId="1" fillId="0" borderId="4" applyAlignment="1" applyProtection="1" pivotButton="0" quotePrefix="0" xfId="0">
      <alignment horizontal="center" vertical="center" wrapText="1"/>
      <protection locked="0" hidden="0"/>
    </xf>
    <xf numFmtId="14" fontId="1" fillId="0" borderId="5" applyAlignment="1" applyProtection="1" pivotButton="0" quotePrefix="0" xfId="0">
      <alignment horizontal="center" vertical="center" wrapText="1"/>
      <protection locked="0" hidden="0"/>
    </xf>
    <xf numFmtId="0" fontId="1" fillId="0" borderId="5" applyAlignment="1" applyProtection="1" pivotButton="0" quotePrefix="0" xfId="0">
      <alignment horizontal="center" vertical="center" wrapText="1"/>
      <protection locked="0" hidden="0"/>
    </xf>
    <xf numFmtId="0" fontId="5" fillId="0" borderId="2" applyAlignment="1" applyProtection="1" pivotButton="0" quotePrefix="0" xfId="0">
      <alignment vertical="center"/>
      <protection locked="0" hidden="0"/>
    </xf>
    <xf numFmtId="14" fontId="5" fillId="0" borderId="1" applyAlignment="1" applyProtection="1" pivotButton="0" quotePrefix="0" xfId="0">
      <alignment vertical="center"/>
      <protection locked="0" hidden="0"/>
    </xf>
    <xf numFmtId="0" fontId="5" fillId="0" borderId="1" applyAlignment="1" applyProtection="1" pivotButton="0" quotePrefix="0" xfId="0">
      <alignment vertical="center"/>
      <protection locked="0" hidden="0"/>
    </xf>
    <xf numFmtId="14" fontId="5" fillId="0" borderId="8" applyAlignment="1" applyProtection="1" pivotButton="0" quotePrefix="0" xfId="0">
      <alignment vertical="center"/>
      <protection locked="0" hidden="0"/>
    </xf>
    <xf numFmtId="0" fontId="7" fillId="5" borderId="0" applyAlignment="1" applyProtection="1" pivotButton="0" quotePrefix="0" xfId="0">
      <alignment horizontal="center" vertical="center"/>
      <protection locked="0" hidden="0"/>
    </xf>
    <xf numFmtId="14" fontId="4" fillId="4" borderId="0" applyAlignment="1" applyProtection="1" pivotButton="0" quotePrefix="0" xfId="0">
      <alignment horizontal="center" vertical="center"/>
      <protection locked="0" hidden="0"/>
    </xf>
    <xf numFmtId="0" fontId="1" fillId="0" borderId="6" applyAlignment="1" applyProtection="1" pivotButton="0" quotePrefix="0" xfId="0">
      <alignment horizontal="center" vertical="center" wrapText="1"/>
      <protection locked="0" hidden="0"/>
    </xf>
    <xf numFmtId="0" fontId="5" fillId="0" borderId="3" applyAlignment="1" applyProtection="1" pivotButton="0" quotePrefix="0" xfId="0">
      <alignment vertical="center"/>
      <protection locked="0" hidden="0"/>
    </xf>
    <xf numFmtId="0" fontId="5" fillId="0" borderId="9" applyAlignment="1" applyProtection="1" pivotButton="0" quotePrefix="0" xfId="0">
      <alignment vertical="center"/>
      <protection locked="0" hidden="0"/>
    </xf>
    <xf numFmtId="0" fontId="9" fillId="0" borderId="0" applyAlignment="1" pivotButton="0" quotePrefix="0" xfId="0">
      <alignment horizontal="centerContinuous" vertical="center"/>
    </xf>
    <xf numFmtId="14" fontId="6" fillId="0" borderId="0" applyAlignment="1" pivotButton="0" quotePrefix="0" xfId="0">
      <alignment horizontal="centerContinuous" vertical="center"/>
    </xf>
    <xf numFmtId="0" fontId="6" fillId="0" borderId="0" applyAlignment="1" pivotButton="0" quotePrefix="0" xfId="0">
      <alignment horizontal="centerContinuous" vertical="center"/>
    </xf>
    <xf numFmtId="1" fontId="6" fillId="0" borderId="0" applyAlignment="1" pivotButton="0" quotePrefix="0" xfId="0">
      <alignment horizontal="centerContinuous" vertical="center"/>
    </xf>
    <xf numFmtId="0" fontId="3" fillId="0" borderId="0" applyAlignment="1" pivotButton="0" quotePrefix="0" xfId="0">
      <alignment vertical="center"/>
    </xf>
    <xf numFmtId="14" fontId="4" fillId="2" borderId="0" applyAlignment="1" pivotButton="0" quotePrefix="0" xfId="0">
      <alignment horizontal="centerContinuous" vertical="center"/>
    </xf>
    <xf numFmtId="14" fontId="5" fillId="2" borderId="0" applyAlignment="1" pivotButton="0" quotePrefix="0" xfId="0">
      <alignment horizontal="centerContinuous" vertical="center"/>
    </xf>
    <xf numFmtId="1" fontId="4" fillId="2" borderId="0" applyAlignment="1" pivotButton="0" quotePrefix="0" xfId="0">
      <alignment horizontal="centerContinuous" vertical="center"/>
    </xf>
    <xf numFmtId="0" fontId="4" fillId="2" borderId="0" applyAlignment="1" pivotButton="0" quotePrefix="0" xfId="0">
      <alignment horizontal="centerContinuous" vertical="center"/>
    </xf>
    <xf numFmtId="0" fontId="1" fillId="2" borderId="5" applyAlignment="1" pivotButton="0" quotePrefix="0" xfId="0">
      <alignment horizontal="center" vertical="center" wrapText="1"/>
    </xf>
    <xf numFmtId="14" fontId="1" fillId="2" borderId="5" applyAlignment="1" pivotButton="0" quotePrefix="0" xfId="0">
      <alignment horizontal="center" vertical="center" wrapText="1"/>
    </xf>
    <xf numFmtId="1" fontId="1" fillId="2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5" fillId="0" borderId="1" applyProtection="1" pivotButton="0" quotePrefix="0" xfId="0">
      <protection locked="0" hidden="0"/>
    </xf>
    <xf numFmtId="0" fontId="5" fillId="0" borderId="1" applyAlignment="1" applyProtection="1" pivotButton="0" quotePrefix="0" xfId="0">
      <alignment horizontal="center"/>
      <protection locked="0" hidden="0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left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14" fontId="1" fillId="0" borderId="5" applyAlignment="1" pivotButton="0" quotePrefix="0" xfId="0">
      <alignment horizontal="center" vertical="center" wrapText="1"/>
    </xf>
    <xf numFmtId="14" fontId="5" fillId="0" borderId="3" applyAlignment="1" applyProtection="1" pivotButton="0" quotePrefix="0" xfId="0">
      <alignment vertical="center"/>
      <protection locked="0" hidden="0"/>
    </xf>
    <xf numFmtId="0" fontId="5" fillId="0" borderId="2" applyAlignment="1" applyProtection="1" pivotButton="0" quotePrefix="0" xfId="0">
      <alignment horizontal="left" vertical="center"/>
      <protection locked="0" hidden="0"/>
    </xf>
    <xf numFmtId="0" fontId="5" fillId="6" borderId="1" applyProtection="1" pivotButton="0" quotePrefix="0" xfId="0">
      <protection locked="0" hidden="0"/>
    </xf>
    <xf numFmtId="14" fontId="5" fillId="6" borderId="1" applyAlignment="1" applyProtection="1" pivotButton="0" quotePrefix="0" xfId="0">
      <alignment vertical="center"/>
      <protection locked="0" hidden="0"/>
    </xf>
    <xf numFmtId="0" fontId="5" fillId="6" borderId="1" applyAlignment="1" applyProtection="1" pivotButton="0" quotePrefix="0" xfId="0">
      <alignment vertical="center"/>
      <protection locked="0" hidden="0"/>
    </xf>
    <xf numFmtId="49" fontId="5" fillId="0" borderId="2" applyAlignment="1" applyProtection="1" pivotButton="0" quotePrefix="0" xfId="0">
      <alignment horizontal="left" vertical="center"/>
      <protection locked="0" hidden="0"/>
    </xf>
    <xf numFmtId="0" fontId="5" fillId="6" borderId="2" applyAlignment="1" applyProtection="1" pivotButton="0" quotePrefix="0" xfId="0">
      <alignment horizontal="left" vertical="center"/>
      <protection locked="0" hidden="0"/>
    </xf>
    <xf numFmtId="11" fontId="5" fillId="0" borderId="2" applyAlignment="1" applyProtection="1" pivotButton="0" quotePrefix="0" xfId="0">
      <alignment horizontal="left" vertical="center"/>
      <protection locked="0" hidden="0"/>
    </xf>
    <xf numFmtId="4" fontId="5" fillId="0" borderId="0" applyAlignment="1" pivotButton="0" quotePrefix="0" xfId="0">
      <alignment vertical="center"/>
    </xf>
    <xf numFmtId="4" fontId="6" fillId="0" borderId="0" applyAlignment="1" pivotButton="0" quotePrefix="0" xfId="0">
      <alignment horizontal="centerContinuous" vertical="center"/>
    </xf>
    <xf numFmtId="4" fontId="5" fillId="0" borderId="0" applyAlignment="1" applyProtection="1" pivotButton="0" quotePrefix="0" xfId="0">
      <alignment vertical="center"/>
      <protection locked="0" hidden="0"/>
    </xf>
    <xf numFmtId="4" fontId="4" fillId="3" borderId="0" applyAlignment="1" applyProtection="1" pivotButton="0" quotePrefix="0" xfId="0">
      <alignment horizontal="centerContinuous" vertical="center"/>
      <protection locked="0" hidden="0"/>
    </xf>
    <xf numFmtId="4" fontId="1" fillId="0" borderId="5" applyAlignment="1" applyProtection="1" pivotButton="0" quotePrefix="0" xfId="0">
      <alignment horizontal="center" vertical="center" wrapText="1"/>
      <protection locked="0" hidden="0"/>
    </xf>
    <xf numFmtId="4" fontId="5" fillId="0" borderId="1" applyAlignment="1" applyProtection="1" pivotButton="0" quotePrefix="0" xfId="0">
      <alignment vertical="center"/>
      <protection locked="0" hidden="0"/>
    </xf>
    <xf numFmtId="4" fontId="5" fillId="6" borderId="1" applyAlignment="1" applyProtection="1" pivotButton="0" quotePrefix="0" xfId="0">
      <alignment vertical="center"/>
      <protection locked="0" hidden="0"/>
    </xf>
    <xf numFmtId="4" fontId="5" fillId="0" borderId="8" applyAlignment="1" applyProtection="1" pivotButton="0" quotePrefix="0" xfId="0">
      <alignment vertical="center"/>
      <protection locked="0" hidden="0"/>
    </xf>
    <xf numFmtId="0" fontId="5" fillId="0" borderId="1" applyAlignment="1" applyProtection="1" pivotButton="0" quotePrefix="0" xfId="0">
      <alignment horizontal="left" vertical="center"/>
      <protection locked="0" hidden="0"/>
    </xf>
    <xf numFmtId="4" fontId="12" fillId="0" borderId="1" applyAlignment="1" applyProtection="1" pivotButton="0" quotePrefix="0" xfId="0">
      <alignment vertical="center"/>
      <protection locked="0" hidden="0"/>
    </xf>
    <xf numFmtId="14" fontId="12" fillId="2" borderId="1" applyAlignment="1" pivotButton="0" quotePrefix="0" xfId="0">
      <alignment horizontal="center" vertical="center"/>
    </xf>
    <xf numFmtId="1" fontId="12" fillId="2" borderId="1" applyAlignment="1" pivotButton="0" quotePrefix="0" xfId="0">
      <alignment horizontal="center" vertical="center"/>
    </xf>
    <xf numFmtId="0" fontId="12" fillId="0" borderId="3" applyAlignment="1" applyProtection="1" pivotButton="0" quotePrefix="0" xfId="0">
      <alignment vertical="center"/>
      <protection locked="0" hidden="0"/>
    </xf>
    <xf numFmtId="4" fontId="12" fillId="0" borderId="8" applyAlignment="1" applyProtection="1" pivotButton="0" quotePrefix="0" xfId="0">
      <alignment vertical="center"/>
      <protection locked="0" hidden="0"/>
    </xf>
    <xf numFmtId="0" fontId="12" fillId="0" borderId="9" applyAlignment="1" applyProtection="1" pivotButton="0" quotePrefix="0" xfId="0">
      <alignment vertical="center"/>
      <protection locked="0" hidden="0"/>
    </xf>
    <xf numFmtId="14" fontId="0" fillId="0" borderId="0" applyAlignment="1" applyProtection="1" pivotButton="0" quotePrefix="0" xfId="0">
      <alignment vertical="center"/>
      <protection locked="0" hidden="0"/>
    </xf>
    <xf numFmtId="0" fontId="5" fillId="0" borderId="2" applyAlignment="1" applyProtection="1" pivotButton="0" quotePrefix="0" xfId="0">
      <alignment horizontal="center" vertical="center"/>
      <protection locked="0" hidden="0"/>
    </xf>
    <xf numFmtId="0" fontId="5" fillId="0" borderId="7" applyAlignment="1" applyProtection="1" pivotButton="0" quotePrefix="0" xfId="0">
      <alignment horizontal="center" vertical="center"/>
      <protection locked="0" hidden="0"/>
    </xf>
    <xf numFmtId="0" fontId="12" fillId="0" borderId="2" applyAlignment="1" applyProtection="1" pivotButton="0" quotePrefix="0" xfId="0">
      <alignment horizontal="center" vertical="center"/>
      <protection locked="0" hidden="0"/>
    </xf>
    <xf numFmtId="0" fontId="12" fillId="0" borderId="7" applyAlignment="1" applyProtection="1" pivotButton="0" quotePrefix="0" xfId="0">
      <alignment horizontal="center" vertical="center"/>
      <protection locked="0" hidden="0"/>
    </xf>
    <xf numFmtId="14" fontId="5" fillId="7" borderId="1" applyAlignment="1" applyProtection="1" pivotButton="0" quotePrefix="0" xfId="0">
      <alignment vertical="center"/>
      <protection locked="0" hidden="0"/>
    </xf>
    <xf numFmtId="0" fontId="5" fillId="7" borderId="1" applyProtection="1" pivotButton="0" quotePrefix="0" xfId="0">
      <protection locked="0" hidden="0"/>
    </xf>
    <xf numFmtId="4" fontId="5" fillId="7" borderId="1" applyAlignment="1" applyProtection="1" pivotButton="0" quotePrefix="0" xfId="0">
      <alignment vertical="center"/>
      <protection locked="0" hidden="0"/>
    </xf>
    <xf numFmtId="0" fontId="0" fillId="0" borderId="1" pivotButton="0" quotePrefix="0" xfId="0"/>
    <xf numFmtId="0" fontId="13" fillId="0" borderId="1" pivotButton="0" quotePrefix="0" xfId="0"/>
    <xf numFmtId="0" fontId="7" fillId="2" borderId="1" applyAlignment="1" pivotButton="0" quotePrefix="1" xfId="0">
      <alignment horizontal="center" vertical="center"/>
    </xf>
    <xf numFmtId="0" fontId="5" fillId="0" borderId="10" applyAlignment="1" applyProtection="1" pivotButton="0" quotePrefix="0" xfId="0">
      <alignment vertical="center"/>
      <protection locked="0" hidden="0"/>
    </xf>
    <xf numFmtId="14" fontId="12" fillId="0" borderId="3" applyAlignment="1" applyProtection="1" pivotButton="0" quotePrefix="0" xfId="0">
      <alignment vertical="center"/>
      <protection locked="0" hidden="0"/>
    </xf>
    <xf numFmtId="14" fontId="12" fillId="0" borderId="9" applyAlignment="1" applyProtection="1" pivotButton="0" quotePrefix="0" xfId="0">
      <alignment vertical="center"/>
      <protection locked="0" hidden="0"/>
    </xf>
    <xf numFmtId="0" fontId="12" fillId="2" borderId="1" applyAlignment="1" pivotButton="0" quotePrefix="0" xfId="0">
      <alignment horizontal="center" vertical="center"/>
    </xf>
    <xf numFmtId="0" fontId="12" fillId="2" borderId="1" applyAlignment="1" pivotButton="0" quotePrefix="0" xfId="0">
      <alignment vertical="center"/>
    </xf>
    <xf numFmtId="14" fontId="1" fillId="0" borderId="6" applyAlignment="1" applyProtection="1" pivotButton="0" quotePrefix="0" xfId="0">
      <alignment horizontal="center" vertical="center" wrapText="1"/>
      <protection locked="0" hidden="0"/>
    </xf>
  </cellXfs>
  <cellStyles count="1">
    <cellStyle name="Normal" xfId="0" builtinId="0"/>
  </cellStyles>
  <dxfs count="25">
    <dxf>
      <font>
        <name val="Cambria"/>
        <strike val="0"/>
        <outline val="0"/>
        <shadow val="0"/>
        <condense val="0"/>
        <color theme="1"/>
        <extend val="0"/>
        <sz val="11"/>
        <vertAlign val="baseline"/>
      </font>
      <numFmt numFmtId="19" formatCode="dd/mm/yyyy"/>
      <alignment horizontal="general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Cambria"/>
        <strike val="0"/>
        <outline val="0"/>
        <shadow val="0"/>
        <color theme="1"/>
        <sz val="11"/>
        <vertAlign val="baseline"/>
      </font>
      <protection locked="1" hidden="0"/>
    </dxf>
    <dxf>
      <font>
        <name val="Cambria"/>
        <strike val="0"/>
        <outline val="0"/>
        <shadow val="0"/>
        <color theme="1"/>
        <sz val="11"/>
        <vertAlign val="baseline"/>
      </font>
      <alignment horizontal="center"/>
      <protection locked="1" hidden="0"/>
    </dxf>
    <dxf>
      <font>
        <name val="Cambria"/>
        <strike val="0"/>
        <outline val="0"/>
        <shadow val="0"/>
        <color theme="1"/>
        <sz val="11"/>
        <vertAlign val="baseline"/>
      </font>
      <protection locked="1" hidden="0"/>
    </dxf>
    <dxf>
      <font>
        <name val="Cambria"/>
        <strike val="0"/>
        <outline val="0"/>
        <shadow val="0"/>
        <color theme="1"/>
        <sz val="11"/>
        <vertAlign val="baseline"/>
      </font>
      <protection locked="1" hidden="0"/>
    </dxf>
    <dxf>
      <border outline="0">
        <top style="thin">
          <color indexed="64"/>
        </top>
      </border>
    </dxf>
    <dxf>
      <font>
        <name val="Cambria"/>
        <strike val="0"/>
        <outline val="0"/>
        <shadow val="0"/>
        <color theme="1"/>
        <sz val="11"/>
        <vertAlign val="baseline"/>
      </font>
      <numFmt numFmtId="19" formatCode="dd/mm/yyyy"/>
      <protection locked="1" hidden="0"/>
    </dxf>
    <dxf>
      <border outline="0">
        <bottom style="thin">
          <color indexed="64"/>
        </bottom>
      </border>
    </dxf>
    <dxf>
      <font>
        <name val="Cambria"/>
        <b val="1"/>
        <strike val="0"/>
        <outline val="0"/>
        <shadow val="0"/>
        <condense val="0"/>
        <color auto="1"/>
        <extend val="0"/>
        <sz val="11"/>
        <vertAlign val="baseline"/>
      </font>
      <numFmt numFmtId="19" formatCode="dd/mm/yyyy"/>
      <alignment horizontal="center" vertical="center" wrapText="1"/>
      <border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name val="Cambria"/>
        <strike val="0"/>
        <outline val="0"/>
        <shadow val="0"/>
        <vertAlign val="baseline"/>
      </font>
      <alignment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name val="Cambria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auto="1"/>
        </patternFill>
      </fill>
      <alignment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name val="Cambria"/>
        <strike val="0"/>
        <outline val="0"/>
        <shadow val="0"/>
        <vertAlign val="baseline"/>
      </font>
      <numFmt numFmtId="0" formatCode="General"/>
      <fill>
        <patternFill patternType="solid">
          <fgColor indexed="64"/>
          <bgColor theme="9" tint="0.7999816888943144"/>
        </patternFill>
      </fill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mbria"/>
        <strike val="0"/>
        <outline val="0"/>
        <shadow val="0"/>
        <vertAlign val="baseline"/>
      </font>
      <numFmt numFmtId="1" formatCode="0"/>
      <fill>
        <patternFill patternType="solid">
          <fgColor indexed="64"/>
          <bgColor theme="9" tint="0.7999816888943144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mbria"/>
        <strike val="0"/>
        <outline val="0"/>
        <shadow val="0"/>
        <vertAlign val="baseline"/>
      </font>
      <numFmt numFmtId="19" formatCode="dd/mm/yyyy"/>
      <fill>
        <patternFill patternType="solid">
          <fgColor indexed="64"/>
          <bgColor theme="9" tint="0.7999816888943144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mbria"/>
        <strike val="0"/>
        <outline val="0"/>
        <shadow val="0"/>
        <vertAlign val="baseline"/>
      </font>
      <numFmt numFmtId="0" formatCode="General"/>
      <fill>
        <patternFill patternType="solid">
          <fgColor indexed="64"/>
          <bgColor theme="9" tint="0.7999816888943144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mbria"/>
        <strike val="0"/>
        <outline val="0"/>
        <shadow val="0"/>
        <vertAlign val="baseline"/>
      </font>
      <numFmt numFmtId="4" formatCode="#,##0.00"/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mbria"/>
        <strike val="0"/>
        <outline val="0"/>
        <shadow val="0"/>
        <vertAlign val="baseline"/>
      </font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mbria"/>
        <strike val="0"/>
        <outline val="0"/>
        <shadow val="0"/>
        <vertAlign val="baseline"/>
      </font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mbria"/>
        <strike val="0"/>
        <outline val="0"/>
        <shadow val="0"/>
        <vertAlign val="baseline"/>
      </font>
      <numFmt numFmtId="19" formatCode="dd/mm/yyyy"/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mbria"/>
        <strike val="0"/>
        <outline val="0"/>
        <shadow val="0"/>
        <vertAlign val="baseline"/>
      </font>
      <alignment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mbria"/>
        <strike val="0"/>
        <outline val="0"/>
        <shadow val="0"/>
        <vertAlign val="baseline"/>
      </font>
      <alignment vertical="center"/>
    </dxf>
    <dxf>
      <border outline="0">
        <bottom style="thin">
          <color indexed="64"/>
        </bottom>
      </border>
    </dxf>
    <dxf>
      <font>
        <name val="Cambria"/>
        <strike val="0"/>
        <outline val="0"/>
        <shadow val="0"/>
        <vertAlign val="baseline"/>
      </font>
      <alignment vertical="center"/>
      <protection locked="1" hidden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tc={FAA1CC66-5BDC-4B68-B5E5-E7B4C3AAE4C5}</author>
  </authors>
  <commentList>
    <comment ref="K9" authorId="0" shapeId="0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date de décaissement effectif à retenir. Par précaution, il convient de privilégier les paiements par virements;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63501</colOff>
      <row>0</row>
      <rowOff>117929</rowOff>
    </from>
    <to>
      <col>1</col>
      <colOff>659039</colOff>
      <row>3</row>
      <rowOff>54006</rowOff>
    </to>
    <pic>
      <nvPicPr>
        <cNvPr id="2" name="Image 1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l="15758" t="14135" r="16486" b="16448"/>
        <a:stretch xmlns:a="http://schemas.openxmlformats.org/drawingml/2006/main">
          <a:fillRect/>
        </a:stretch>
      </blipFill>
      <spPr>
        <a:xfrm xmlns:a="http://schemas.openxmlformats.org/drawingml/2006/main">
          <a:off x="816430" y="117929"/>
          <a:ext cx="634999" cy="65272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leau1" displayName="Tableau1" ref="B9:M783" headerRowCount="1" totalsRowShown="0" headerRowDxfId="24" dataDxfId="22" headerRowBorderDxfId="23" tableBorderDxfId="21" totalsRowBorderDxfId="20">
  <autoFilter ref="B9:M783"/>
  <tableColumns count="12">
    <tableColumn id="1" name="N° Facture" dataDxfId="19"/>
    <tableColumn id="2" name="Date Livraison" dataDxfId="18"/>
    <tableColumn id="3" name="Date Facture/pièce (y compris FNP)" dataDxfId="17"/>
    <tableColumn id="4" name="Fournisseur" dataDxfId="16"/>
    <tableColumn id="5" name="Montant TTC" dataDxfId="15"/>
    <tableColumn id="6" name="Délai Convenu / Par défaut" dataDxfId="14">
      <calculatedColumnFormula>+IF(Tableau1[[#This Row],[Fournisseur]]="","",IFERROR(VLOOKUP(Tableau1[[#This Row],[Fournisseur]],SuiviFrs,2,FALSE),"Vérifier la syntaxe : Fournisseur introuvable au niveau du suivi des conventions"))</calculatedColumnFormula>
    </tableColumn>
    <tableColumn id="8" name="Date Échéance" dataDxfId="13">
      <calculatedColumnFormula>++IF(Tableau1[[#This Row],[Fournisseur]]="","",C10+G10-1)</calculatedColumnFormula>
    </tableColumn>
    <tableColumn id="9" name="Jours de Retard" dataDxfId="12">
      <calculatedColumnFormula>++IF(Tableau1[[#This Row],[Fournisseur]]="","",IF(H10-Tableau1[[#This Row],[Date Paiement Effectif]]&gt;0," ",H10-Tableau1[[#This Row],[Date Paiement Effectif]]))</calculatedColumnFormula>
    </tableColumn>
    <tableColumn id="10" name="Statut" dataDxfId="11">
      <calculatedColumnFormula>++IF(Tableau1[[#This Row],[Fournisseur]]="","",IF(Tableau1[[#This Row],[Date Paiement Effectif]]="","Non encore payée",IF(I10&lt;0,"Attention, paiement hors délais","OK RAS")))</calculatedColumnFormula>
    </tableColumn>
    <tableColumn id="14" name="Date Paiement Effectif" dataDxfId="10"/>
    <tableColumn id="7" name="Montant payé" dataDxfId="0"/>
    <tableColumn id="11" name="Observations" dataDxfId="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au2" displayName="Tableau2" ref="A3:D1048576" headerRowCount="1" totalsRowShown="0" headerRowDxfId="8" dataDxfId="6" headerRowBorderDxfId="7" tableBorderDxfId="5">
  <autoFilter ref="A3:D1048576"/>
  <tableColumns count="4">
    <tableColumn id="1" name="N° Fournisseur" dataDxfId="4"/>
    <tableColumn id="2" name="Nom Fournisseur" dataDxfId="3"/>
    <tableColumn id="3" name="Délai (jours)" dataDxfId="2"/>
    <tableColumn id="4" name="Observatio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3"/>
  <sheetViews>
    <sheetView showGridLines="0" tabSelected="1" zoomScale="85" zoomScaleNormal="85" workbookViewId="0">
      <selection activeCell="G9" sqref="G9"/>
    </sheetView>
  </sheetViews>
  <sheetFormatPr baseColWidth="10" defaultColWidth="10.81640625" defaultRowHeight="14.25" customHeight="1"/>
  <cols>
    <col width="10.81640625" customWidth="1" style="4" min="1" max="1"/>
    <col width="19.453125" bestFit="1" customWidth="1" style="13" min="2" max="2"/>
    <col width="20.7265625" bestFit="1" customWidth="1" style="14" min="3" max="3"/>
    <col width="26" bestFit="1" customWidth="1" style="13" min="4" max="4"/>
    <col width="17.453125" bestFit="1" customWidth="1" style="13" min="5" max="5"/>
    <col width="19.26953125" bestFit="1" customWidth="1" style="64" min="6" max="6"/>
    <col width="31.453125" customWidth="1" style="1" min="7" max="7"/>
    <col width="20.1796875" customWidth="1" style="10" min="8" max="8"/>
    <col width="21.54296875" customWidth="1" style="11" min="9" max="9"/>
    <col width="30.7265625" customWidth="1" style="12" min="10" max="10"/>
    <col width="19.81640625" customWidth="1" style="13" min="11" max="12"/>
    <col width="19.54296875" bestFit="1" customWidth="1" style="13" min="13" max="13"/>
    <col width="10.81640625" customWidth="1" style="4" min="14" max="16384"/>
  </cols>
  <sheetData>
    <row r="1" ht="14.25" customHeight="1">
      <c r="B1" s="4" t="n"/>
      <c r="C1" s="5" t="n"/>
      <c r="D1" s="4" t="n"/>
      <c r="E1" s="4" t="n"/>
      <c r="F1" s="62" t="n"/>
      <c r="G1" s="3" t="n"/>
      <c r="H1" s="5" t="n"/>
      <c r="I1" s="6" t="n"/>
      <c r="J1" s="4" t="n"/>
      <c r="K1" s="4" t="n"/>
      <c r="L1" s="4" t="n"/>
      <c r="M1" s="4" t="n"/>
    </row>
    <row r="2" ht="9.65" customHeight="1">
      <c r="B2" s="4" t="n"/>
      <c r="C2" s="5" t="n"/>
      <c r="D2" s="4" t="n"/>
      <c r="E2" s="4" t="n"/>
      <c r="F2" s="62" t="n"/>
      <c r="G2" s="3" t="n"/>
      <c r="H2" s="5" t="n"/>
      <c r="I2" s="6" t="n"/>
      <c r="J2" s="4" t="n"/>
      <c r="K2" s="4" t="n"/>
      <c r="L2" s="4" t="n"/>
      <c r="M2" s="4" t="n"/>
    </row>
    <row r="3" ht="33" customHeight="1">
      <c r="B3" s="33" t="inlineStr">
        <is>
          <t>SUIVI GLOBAL DES DELAIS DE PAIEMENT :</t>
        </is>
      </c>
      <c r="C3" s="34" t="n"/>
      <c r="D3" s="35" t="n"/>
      <c r="E3" s="35" t="n"/>
      <c r="F3" s="63" t="n"/>
      <c r="G3" s="35" t="n"/>
      <c r="H3" s="34" t="n"/>
      <c r="I3" s="36" t="n"/>
      <c r="J3" s="35" t="n"/>
      <c r="K3" s="35" t="n"/>
      <c r="L3" s="35" t="n"/>
      <c r="M3" s="35" t="n"/>
    </row>
    <row r="4" ht="31.5" customHeight="1">
      <c r="B4" s="37" t="n"/>
      <c r="C4" s="5" t="n"/>
      <c r="D4" s="4" t="n"/>
      <c r="E4" s="4" t="n"/>
      <c r="F4" s="62" t="n"/>
      <c r="G4" s="3" t="n"/>
      <c r="H4" s="5" t="n"/>
      <c r="I4" s="6" t="n"/>
      <c r="J4" s="4" t="n"/>
      <c r="K4" s="4" t="n"/>
      <c r="L4" s="4" t="n"/>
      <c r="M4" s="4" t="n"/>
    </row>
    <row r="5" ht="22.5" customHeight="1">
      <c r="B5" s="15" t="n"/>
      <c r="C5" s="16" t="inlineStr">
        <is>
          <t>Société :</t>
        </is>
      </c>
      <c r="D5" s="17" t="n"/>
      <c r="E5" s="18" t="n"/>
      <c r="G5" s="3" t="n"/>
      <c r="H5" s="5" t="n"/>
      <c r="I5" s="6" t="n"/>
      <c r="J5" s="4" t="n"/>
      <c r="K5" s="16" t="inlineStr">
        <is>
          <t>Exercice :</t>
        </is>
      </c>
      <c r="L5" s="16" t="n"/>
      <c r="M5" s="28" t="n">
        <v>2026</v>
      </c>
    </row>
    <row r="6" ht="22.5" customHeight="1">
      <c r="B6" s="15" t="n"/>
      <c r="G6" s="3" t="n"/>
      <c r="H6" s="5" t="n"/>
      <c r="I6" s="6" t="n"/>
      <c r="J6" s="4" t="n"/>
    </row>
    <row r="7" ht="14" customHeight="1">
      <c r="G7" s="3" t="n"/>
      <c r="H7" s="5" t="n"/>
      <c r="I7" s="6" t="n"/>
      <c r="J7" s="4" t="n"/>
    </row>
    <row r="8" ht="14" customHeight="1">
      <c r="B8" s="19" t="inlineStr">
        <is>
          <t>Suivi des achats</t>
        </is>
      </c>
      <c r="C8" s="20" t="n"/>
      <c r="D8" s="19" t="n"/>
      <c r="E8" s="19" t="n"/>
      <c r="F8" s="65" t="n"/>
      <c r="G8" s="38" t="inlineStr">
        <is>
          <t>Cellules calculées</t>
        </is>
      </c>
      <c r="H8" s="39" t="n"/>
      <c r="I8" s="40" t="n"/>
      <c r="J8" s="41" t="n"/>
      <c r="K8" s="29" t="inlineStr">
        <is>
          <t>Relevés bancaires</t>
        </is>
      </c>
      <c r="L8" s="29" t="n"/>
    </row>
    <row r="9" ht="28" customHeight="1">
      <c r="B9" s="21" t="inlineStr">
        <is>
          <t>N° Facture</t>
        </is>
      </c>
      <c r="C9" s="22" t="inlineStr">
        <is>
          <t>Date Livraison</t>
        </is>
      </c>
      <c r="D9" s="23" t="inlineStr">
        <is>
          <t>Date Facture/pièce (y compris FNP)</t>
        </is>
      </c>
      <c r="E9" s="23" t="inlineStr">
        <is>
          <t>Fournisseur</t>
        </is>
      </c>
      <c r="F9" s="66" t="inlineStr">
        <is>
          <t>Montant TTC</t>
        </is>
      </c>
      <c r="G9" s="42" t="inlineStr">
        <is>
          <t>Délai Convenu / Par défaut</t>
        </is>
      </c>
      <c r="H9" s="43" t="inlineStr">
        <is>
          <t>Date Échéance</t>
        </is>
      </c>
      <c r="I9" s="44" t="inlineStr">
        <is>
          <t>Jours de Retard</t>
        </is>
      </c>
      <c r="J9" s="42" t="inlineStr">
        <is>
          <t>Statut</t>
        </is>
      </c>
      <c r="K9" s="22" t="inlineStr">
        <is>
          <t>Date Paiement Effectif</t>
        </is>
      </c>
      <c r="L9" s="93" t="inlineStr">
        <is>
          <t>Montant payé</t>
        </is>
      </c>
      <c r="M9" s="30" t="inlineStr">
        <is>
          <t>Observations</t>
        </is>
      </c>
    </row>
    <row r="10" ht="14.25" customHeight="1">
      <c r="B10" s="55" t="n"/>
      <c r="C10" s="25" t="n"/>
      <c r="D10" s="25" t="n"/>
      <c r="E10" s="46" t="n"/>
      <c r="F10" s="67" t="n"/>
      <c r="G10" s="2">
        <f>+IF(Tableau1[[#This Row],[Fournisseur]]="","",IFERROR(VLOOKUP(Tableau1[[#This Row],[Fournisseur]],SuiviFrs,2,FALSE),"Vérifier la syntaxe : Fournisseur introuvable au niveau du suivi des conventions"))</f>
        <v/>
      </c>
      <c r="H10" s="7">
        <f>++IF(Tableau1[[#This Row],[Fournisseur]]="","",C10+G10-1)</f>
        <v/>
      </c>
      <c r="I10" s="8">
        <f>++IF(Tableau1[[#This Row],[Fournisseur]]="","",IF(H10-Tableau1[[#This Row],[Date Paiement Effectif]]&gt;0," ",H10-Tableau1[[#This Row],[Date Paiement Effectif]]))</f>
        <v/>
      </c>
      <c r="J10" s="9">
        <f>++IF(Tableau1[[#This Row],[Fournisseur]]="","",IF(Tableau1[[#This Row],[Date Paiement Effectif]]="","Non encore payée",IF(I10&lt;0,"Attention, paiement hors délais","OK RAS")))</f>
        <v/>
      </c>
      <c r="K10" s="54" t="n"/>
      <c r="L10" s="54" t="n"/>
      <c r="M10" s="31" t="n"/>
    </row>
    <row r="11" ht="14.25" customHeight="1">
      <c r="B11" s="55" t="n"/>
      <c r="C11" s="25" t="n"/>
      <c r="D11" s="25" t="n"/>
      <c r="E11" s="46" t="n"/>
      <c r="F11" s="67" t="n"/>
      <c r="G11" s="2">
        <f>+IF(Tableau1[[#This Row],[Fournisseur]]="","",IFERROR(VLOOKUP(Tableau1[[#This Row],[Fournisseur]],SuiviFrs,2,FALSE),"Vérifier la syntaxe : Fournisseur introuvable au niveau du suivi des conventions"))</f>
        <v/>
      </c>
      <c r="H11" s="7">
        <f>++IF(Tableau1[[#This Row],[Fournisseur]]="","",C11+G11-1)</f>
        <v/>
      </c>
      <c r="I11" s="8">
        <f>++IF(Tableau1[[#This Row],[Fournisseur]]="","",IF(H11-Tableau1[[#This Row],[Date Paiement Effectif]]&gt;0," ",H11-Tableau1[[#This Row],[Date Paiement Effectif]]))</f>
        <v/>
      </c>
      <c r="J11" s="9">
        <f>++IF(Tableau1[[#This Row],[Fournisseur]]="","",IF(Tableau1[[#This Row],[Date Paiement Effectif]]="","Non encore payée",IF(I11&lt;0,"Attention, paiement hors délais","OK RAS")))</f>
        <v/>
      </c>
      <c r="K11" s="54" t="n"/>
      <c r="L11" s="54" t="n"/>
      <c r="M11" s="31" t="n"/>
    </row>
    <row r="12" ht="14.25" customHeight="1">
      <c r="B12" s="55" t="n"/>
      <c r="C12" s="25" t="n"/>
      <c r="D12" s="25" t="n"/>
      <c r="E12" s="46" t="n"/>
      <c r="F12" s="67" t="n"/>
      <c r="G12" s="2">
        <f>+IF(Tableau1[[#This Row],[Fournisseur]]="","",IFERROR(VLOOKUP(Tableau1[[#This Row],[Fournisseur]],SuiviFrs,2,FALSE),"Vérifier la syntaxe : Fournisseur introuvable au niveau du suivi des conventions"))</f>
        <v/>
      </c>
      <c r="H12" s="7">
        <f>++IF(Tableau1[[#This Row],[Fournisseur]]="","",C12+G12-1)</f>
        <v/>
      </c>
      <c r="I12" s="8">
        <f>++IF(Tableau1[[#This Row],[Fournisseur]]="","",IF(H12-Tableau1[[#This Row],[Date Paiement Effectif]]&gt;0," ",H12-Tableau1[[#This Row],[Date Paiement Effectif]]))</f>
        <v/>
      </c>
      <c r="J12" s="9">
        <f>++IF(Tableau1[[#This Row],[Fournisseur]]="","",IF(Tableau1[[#This Row],[Date Paiement Effectif]]="","Non encore payée",IF(I12&lt;0,"Attention, paiement hors délais","OK RAS")))</f>
        <v/>
      </c>
      <c r="K12" s="54" t="n"/>
      <c r="L12" s="54" t="n"/>
      <c r="M12" s="31" t="n"/>
    </row>
    <row r="13" ht="14.25" customHeight="1">
      <c r="B13" s="55" t="n"/>
      <c r="C13" s="25" t="n"/>
      <c r="D13" s="25" t="n"/>
      <c r="E13" s="46" t="n"/>
      <c r="F13" s="67" t="n"/>
      <c r="G13" s="2">
        <f>+IF(Tableau1[[#This Row],[Fournisseur]]="","",IFERROR(VLOOKUP(Tableau1[[#This Row],[Fournisseur]],SuiviFrs,2,FALSE),"Vérifier la syntaxe : Fournisseur introuvable au niveau du suivi des conventions"))</f>
        <v/>
      </c>
      <c r="H13" s="7">
        <f>++IF(Tableau1[[#This Row],[Fournisseur]]="","",C13+G13-1)</f>
        <v/>
      </c>
      <c r="I13" s="8">
        <f>++IF(Tableau1[[#This Row],[Fournisseur]]="","",IF(H13-Tableau1[[#This Row],[Date Paiement Effectif]]&gt;0," ",H13-Tableau1[[#This Row],[Date Paiement Effectif]]))</f>
        <v/>
      </c>
      <c r="J13" s="9">
        <f>++IF(Tableau1[[#This Row],[Fournisseur]]="","",IF(Tableau1[[#This Row],[Date Paiement Effectif]]="","Non encore payée",IF(I13&lt;0,"Attention, paiement hors délais","OK RAS")))</f>
        <v/>
      </c>
      <c r="K13" s="54" t="n"/>
      <c r="L13" s="54" t="n"/>
      <c r="M13" s="31" t="n"/>
    </row>
    <row r="14" ht="14.25" customHeight="1">
      <c r="B14" s="55" t="n"/>
      <c r="C14" s="25" t="n"/>
      <c r="D14" s="25" t="n"/>
      <c r="E14" s="46" t="n"/>
      <c r="F14" s="67" t="n"/>
      <c r="G14" s="2">
        <f>+IF(Tableau1[[#This Row],[Fournisseur]]="","",IFERROR(VLOOKUP(Tableau1[[#This Row],[Fournisseur]],SuiviFrs,2,FALSE),"Vérifier la syntaxe : Fournisseur introuvable au niveau du suivi des conventions"))</f>
        <v/>
      </c>
      <c r="H14" s="7">
        <f>++IF(Tableau1[[#This Row],[Fournisseur]]="","",C14+G14-1)</f>
        <v/>
      </c>
      <c r="I14" s="8">
        <f>++IF(Tableau1[[#This Row],[Fournisseur]]="","",IF(H14-Tableau1[[#This Row],[Date Paiement Effectif]]&gt;0," ",H14-Tableau1[[#This Row],[Date Paiement Effectif]]))</f>
        <v/>
      </c>
      <c r="J14" s="9">
        <f>++IF(Tableau1[[#This Row],[Fournisseur]]="","",IF(Tableau1[[#This Row],[Date Paiement Effectif]]="","Non encore payée",IF(I14&lt;0,"Attention, paiement hors délais","OK RAS")))</f>
        <v/>
      </c>
      <c r="K14" s="54" t="n"/>
      <c r="L14" s="54" t="n"/>
      <c r="M14" s="31" t="n"/>
    </row>
    <row r="15" ht="14.25" customHeight="1">
      <c r="B15" s="55" t="n"/>
      <c r="C15" s="25" t="n"/>
      <c r="D15" s="25" t="n"/>
      <c r="E15" s="46" t="n"/>
      <c r="F15" s="67" t="n"/>
      <c r="G15" s="2">
        <f>+IF(Tableau1[[#This Row],[Fournisseur]]="","",IFERROR(VLOOKUP(Tableau1[[#This Row],[Fournisseur]],SuiviFrs,2,FALSE),"Vérifier la syntaxe : Fournisseur introuvable au niveau du suivi des conventions"))</f>
        <v/>
      </c>
      <c r="H15" s="7">
        <f>++IF(Tableau1[[#This Row],[Fournisseur]]="","",C15+G15-1)</f>
        <v/>
      </c>
      <c r="I15" s="8">
        <f>++IF(Tableau1[[#This Row],[Fournisseur]]="","",IF(H15-Tableau1[[#This Row],[Date Paiement Effectif]]&gt;0," ",H15-Tableau1[[#This Row],[Date Paiement Effectif]]))</f>
        <v/>
      </c>
      <c r="J15" s="9">
        <f>++IF(Tableau1[[#This Row],[Fournisseur]]="","",IF(Tableau1[[#This Row],[Date Paiement Effectif]]="","Non encore payée",IF(I15&lt;0,"Attention, paiement hors délais","OK RAS")))</f>
        <v/>
      </c>
      <c r="K15" s="54" t="n"/>
      <c r="L15" s="54" t="n"/>
      <c r="M15" s="31" t="n"/>
    </row>
    <row r="16" ht="14.25" customHeight="1">
      <c r="B16" s="55" t="n"/>
      <c r="C16" s="25" t="n"/>
      <c r="D16" s="25" t="n"/>
      <c r="E16" s="46" t="n"/>
      <c r="F16" s="67" t="n"/>
      <c r="G16" s="2">
        <f>+IF(Tableau1[[#This Row],[Fournisseur]]="","",IFERROR(VLOOKUP(Tableau1[[#This Row],[Fournisseur]],SuiviFrs,2,FALSE),"Vérifier la syntaxe : Fournisseur introuvable au niveau du suivi des conventions"))</f>
        <v/>
      </c>
      <c r="H16" s="7">
        <f>++IF(Tableau1[[#This Row],[Fournisseur]]="","",C16+G16-1)</f>
        <v/>
      </c>
      <c r="I16" s="8">
        <f>++IF(Tableau1[[#This Row],[Fournisseur]]="","",IF(H16-Tableau1[[#This Row],[Date Paiement Effectif]]&gt;0," ",H16-Tableau1[[#This Row],[Date Paiement Effectif]]))</f>
        <v/>
      </c>
      <c r="J16" s="9">
        <f>++IF(Tableau1[[#This Row],[Fournisseur]]="","",IF(Tableau1[[#This Row],[Date Paiement Effectif]]="","Non encore payée",IF(I16&lt;0,"Attention, paiement hors délais","OK RAS")))</f>
        <v/>
      </c>
      <c r="K16" s="54" t="n"/>
      <c r="L16" s="54" t="n"/>
      <c r="M16" s="31" t="n"/>
    </row>
    <row r="17" ht="14.25" customHeight="1">
      <c r="B17" s="55" t="n"/>
      <c r="C17" s="25" t="n"/>
      <c r="D17" s="25" t="n"/>
      <c r="E17" s="46" t="n"/>
      <c r="F17" s="67" t="n"/>
      <c r="G17" s="2">
        <f>+IF(Tableau1[[#This Row],[Fournisseur]]="","",IFERROR(VLOOKUP(Tableau1[[#This Row],[Fournisseur]],SuiviFrs,2,FALSE),"Vérifier la syntaxe : Fournisseur introuvable au niveau du suivi des conventions"))</f>
        <v/>
      </c>
      <c r="H17" s="7">
        <f>++IF(Tableau1[[#This Row],[Fournisseur]]="","",C17+G17-1)</f>
        <v/>
      </c>
      <c r="I17" s="8">
        <f>++IF(Tableau1[[#This Row],[Fournisseur]]="","",IF(H17-Tableau1[[#This Row],[Date Paiement Effectif]]&gt;0," ",H17-Tableau1[[#This Row],[Date Paiement Effectif]]))</f>
        <v/>
      </c>
      <c r="J17" s="9">
        <f>++IF(Tableau1[[#This Row],[Fournisseur]]="","",IF(Tableau1[[#This Row],[Date Paiement Effectif]]="","Non encore payée",IF(I17&lt;0,"Attention, paiement hors délais","OK RAS")))</f>
        <v/>
      </c>
      <c r="K17" s="54" t="n"/>
      <c r="L17" s="54" t="n"/>
      <c r="M17" s="31" t="n"/>
    </row>
    <row r="18" ht="14.25" customHeight="1">
      <c r="B18" s="55" t="n"/>
      <c r="C18" s="25" t="n"/>
      <c r="D18" s="25" t="n"/>
      <c r="E18" s="46" t="n"/>
      <c r="F18" s="67" t="n"/>
      <c r="G18" s="2">
        <f>+IF(Tableau1[[#This Row],[Fournisseur]]="","",IFERROR(VLOOKUP(Tableau1[[#This Row],[Fournisseur]],SuiviFrs,2,FALSE),"Vérifier la syntaxe : Fournisseur introuvable au niveau du suivi des conventions"))</f>
        <v/>
      </c>
      <c r="H18" s="7">
        <f>++IF(Tableau1[[#This Row],[Fournisseur]]="","",C18+G18-1)</f>
        <v/>
      </c>
      <c r="I18" s="8">
        <f>++IF(Tableau1[[#This Row],[Fournisseur]]="","",IF(H18-Tableau1[[#This Row],[Date Paiement Effectif]]&gt;0," ",H18-Tableau1[[#This Row],[Date Paiement Effectif]]))</f>
        <v/>
      </c>
      <c r="J18" s="9">
        <f>++IF(Tableau1[[#This Row],[Fournisseur]]="","",IF(Tableau1[[#This Row],[Date Paiement Effectif]]="","Non encore payée",IF(I18&lt;0,"Attention, paiement hors délais","OK RAS")))</f>
        <v/>
      </c>
      <c r="K18" s="54" t="n"/>
      <c r="L18" s="54" t="n"/>
      <c r="M18" s="31" t="n"/>
    </row>
    <row r="19" ht="14.25" customHeight="1">
      <c r="B19" s="55" t="n"/>
      <c r="C19" s="25" t="n"/>
      <c r="D19" s="25" t="n"/>
      <c r="E19" s="46" t="n"/>
      <c r="F19" s="67" t="n"/>
      <c r="G19" s="2">
        <f>+IF(Tableau1[[#This Row],[Fournisseur]]="","",IFERROR(VLOOKUP(Tableau1[[#This Row],[Fournisseur]],SuiviFrs,2,FALSE),"Vérifier la syntaxe : Fournisseur introuvable au niveau du suivi des conventions"))</f>
        <v/>
      </c>
      <c r="H19" s="7">
        <f>++IF(Tableau1[[#This Row],[Fournisseur]]="","",C19+G19-1)</f>
        <v/>
      </c>
      <c r="I19" s="8">
        <f>++IF(Tableau1[[#This Row],[Fournisseur]]="","",IF(H19-Tableau1[[#This Row],[Date Paiement Effectif]]&gt;0," ",H19-Tableau1[[#This Row],[Date Paiement Effectif]]))</f>
        <v/>
      </c>
      <c r="J19" s="9">
        <f>++IF(Tableau1[[#This Row],[Fournisseur]]="","",IF(Tableau1[[#This Row],[Date Paiement Effectif]]="","Non encore payée",IF(I19&lt;0,"Attention, paiement hors délais","OK RAS")))</f>
        <v/>
      </c>
      <c r="K19" s="54" t="n"/>
      <c r="L19" s="54" t="n"/>
      <c r="M19" s="31" t="n"/>
    </row>
    <row r="20" ht="14.25" customHeight="1">
      <c r="B20" s="55" t="n"/>
      <c r="C20" s="25" t="n"/>
      <c r="D20" s="25" t="n"/>
      <c r="E20" s="46" t="n"/>
      <c r="F20" s="67" t="n"/>
      <c r="G20" s="2">
        <f>+IF(Tableau1[[#This Row],[Fournisseur]]="","",IFERROR(VLOOKUP(Tableau1[[#This Row],[Fournisseur]],SuiviFrs,2,FALSE),"Vérifier la syntaxe : Fournisseur introuvable au niveau du suivi des conventions"))</f>
        <v/>
      </c>
      <c r="H20" s="7">
        <f>++IF(Tableau1[[#This Row],[Fournisseur]]="","",C20+G20-1)</f>
        <v/>
      </c>
      <c r="I20" s="8">
        <f>++IF(Tableau1[[#This Row],[Fournisseur]]="","",IF(H20-Tableau1[[#This Row],[Date Paiement Effectif]]&gt;0," ",H20-Tableau1[[#This Row],[Date Paiement Effectif]]))</f>
        <v/>
      </c>
      <c r="J20" s="9">
        <f>++IF(Tableau1[[#This Row],[Fournisseur]]="","",IF(Tableau1[[#This Row],[Date Paiement Effectif]]="","Non encore payée",IF(I20&lt;0,"Attention, paiement hors délais","OK RAS")))</f>
        <v/>
      </c>
      <c r="K20" s="54" t="n"/>
      <c r="L20" s="54" t="n"/>
      <c r="M20" s="31" t="n"/>
    </row>
    <row r="21" ht="14.25" customHeight="1">
      <c r="B21" s="55" t="n"/>
      <c r="C21" s="25" t="n"/>
      <c r="D21" s="25" t="n"/>
      <c r="E21" s="46" t="n"/>
      <c r="F21" s="67" t="n"/>
      <c r="G21" s="2">
        <f>+IF(Tableau1[[#This Row],[Fournisseur]]="","",IFERROR(VLOOKUP(Tableau1[[#This Row],[Fournisseur]],SuiviFrs,2,FALSE),"Vérifier la syntaxe : Fournisseur introuvable au niveau du suivi des conventions"))</f>
        <v/>
      </c>
      <c r="H21" s="7">
        <f>++IF(Tableau1[[#This Row],[Fournisseur]]="","",C21+G21-1)</f>
        <v/>
      </c>
      <c r="I21" s="8">
        <f>++IF(Tableau1[[#This Row],[Fournisseur]]="","",IF(H21-Tableau1[[#This Row],[Date Paiement Effectif]]&gt;0," ",H21-Tableau1[[#This Row],[Date Paiement Effectif]]))</f>
        <v/>
      </c>
      <c r="J21" s="9">
        <f>++IF(Tableau1[[#This Row],[Fournisseur]]="","",IF(Tableau1[[#This Row],[Date Paiement Effectif]]="","Non encore payée",IF(I21&lt;0,"Attention, paiement hors délais","OK RAS")))</f>
        <v/>
      </c>
      <c r="K21" s="54" t="n"/>
      <c r="L21" s="54" t="n"/>
      <c r="M21" s="31" t="n"/>
    </row>
    <row r="22" ht="14.25" customHeight="1">
      <c r="B22" s="55" t="n"/>
      <c r="C22" s="25" t="n"/>
      <c r="D22" s="25" t="n"/>
      <c r="E22" s="46" t="n"/>
      <c r="F22" s="67" t="n"/>
      <c r="G22" s="2">
        <f>+IF(Tableau1[[#This Row],[Fournisseur]]="","",IFERROR(VLOOKUP(Tableau1[[#This Row],[Fournisseur]],SuiviFrs,2,FALSE),"Vérifier la syntaxe : Fournisseur introuvable au niveau du suivi des conventions"))</f>
        <v/>
      </c>
      <c r="H22" s="7">
        <f>++IF(Tableau1[[#This Row],[Fournisseur]]="","",C22+G22-1)</f>
        <v/>
      </c>
      <c r="I22" s="8">
        <f>++IF(Tableau1[[#This Row],[Fournisseur]]="","",IF(H22-Tableau1[[#This Row],[Date Paiement Effectif]]&gt;0," ",H22-Tableau1[[#This Row],[Date Paiement Effectif]]))</f>
        <v/>
      </c>
      <c r="J22" s="9">
        <f>++IF(Tableau1[[#This Row],[Fournisseur]]="","",IF(Tableau1[[#This Row],[Date Paiement Effectif]]="","Non encore payée",IF(I22&lt;0,"Attention, paiement hors délais","OK RAS")))</f>
        <v/>
      </c>
      <c r="K22" s="54" t="n"/>
      <c r="L22" s="54" t="n"/>
      <c r="M22" s="31" t="n"/>
    </row>
    <row r="23" ht="14.25" customHeight="1">
      <c r="B23" s="55" t="n"/>
      <c r="C23" s="25" t="n"/>
      <c r="D23" s="25" t="n"/>
      <c r="E23" s="46" t="n"/>
      <c r="F23" s="67" t="n"/>
      <c r="G23" s="2">
        <f>+IF(Tableau1[[#This Row],[Fournisseur]]="","",IFERROR(VLOOKUP(Tableau1[[#This Row],[Fournisseur]],SuiviFrs,2,FALSE),"Vérifier la syntaxe : Fournisseur introuvable au niveau du suivi des conventions"))</f>
        <v/>
      </c>
      <c r="H23" s="7">
        <f>++IF(Tableau1[[#This Row],[Fournisseur]]="","",C23+G23-1)</f>
        <v/>
      </c>
      <c r="I23" s="8">
        <f>++IF(Tableau1[[#This Row],[Fournisseur]]="","",IF(H23-Tableau1[[#This Row],[Date Paiement Effectif]]&gt;0," ",H23-Tableau1[[#This Row],[Date Paiement Effectif]]))</f>
        <v/>
      </c>
      <c r="J23" s="9">
        <f>++IF(Tableau1[[#This Row],[Fournisseur]]="","",IF(Tableau1[[#This Row],[Date Paiement Effectif]]="","Non encore payée",IF(I23&lt;0,"Attention, paiement hors délais","OK RAS")))</f>
        <v/>
      </c>
      <c r="K23" s="54" t="n"/>
      <c r="L23" s="54" t="n"/>
      <c r="M23" s="31" t="n"/>
    </row>
    <row r="24" ht="14.25" customHeight="1">
      <c r="B24" s="55" t="n"/>
      <c r="C24" s="25" t="n"/>
      <c r="D24" s="25" t="n"/>
      <c r="E24" s="46" t="n"/>
      <c r="F24" s="67" t="n"/>
      <c r="G24" s="2">
        <f>+IF(Tableau1[[#This Row],[Fournisseur]]="","",IFERROR(VLOOKUP(Tableau1[[#This Row],[Fournisseur]],SuiviFrs,2,FALSE),"Vérifier la syntaxe : Fournisseur introuvable au niveau du suivi des conventions"))</f>
        <v/>
      </c>
      <c r="H24" s="7">
        <f>++IF(Tableau1[[#This Row],[Fournisseur]]="","",C24+G24-1)</f>
        <v/>
      </c>
      <c r="I24" s="8">
        <f>++IF(Tableau1[[#This Row],[Fournisseur]]="","",IF(H24-Tableau1[[#This Row],[Date Paiement Effectif]]&gt;0," ",H24-Tableau1[[#This Row],[Date Paiement Effectif]]))</f>
        <v/>
      </c>
      <c r="J24" s="9">
        <f>++IF(Tableau1[[#This Row],[Fournisseur]]="","",IF(Tableau1[[#This Row],[Date Paiement Effectif]]="","Non encore payée",IF(I24&lt;0,"Attention, paiement hors délais","OK RAS")))</f>
        <v/>
      </c>
      <c r="K24" s="54" t="n"/>
      <c r="L24" s="54" t="n"/>
      <c r="M24" s="31" t="n"/>
    </row>
    <row r="25" ht="14.25" customHeight="1">
      <c r="B25" s="55" t="n"/>
      <c r="C25" s="25" t="n"/>
      <c r="D25" s="25" t="n"/>
      <c r="E25" s="46" t="n"/>
      <c r="F25" s="67" t="n"/>
      <c r="G25" s="2">
        <f>+IF(Tableau1[[#This Row],[Fournisseur]]="","",IFERROR(VLOOKUP(Tableau1[[#This Row],[Fournisseur]],SuiviFrs,2,FALSE),"Vérifier la syntaxe : Fournisseur introuvable au niveau du suivi des conventions"))</f>
        <v/>
      </c>
      <c r="H25" s="7">
        <f>++IF(Tableau1[[#This Row],[Fournisseur]]="","",C25+G25-1)</f>
        <v/>
      </c>
      <c r="I25" s="8">
        <f>++IF(Tableau1[[#This Row],[Fournisseur]]="","",IF(H25-Tableau1[[#This Row],[Date Paiement Effectif]]&gt;0," ",H25-Tableau1[[#This Row],[Date Paiement Effectif]]))</f>
        <v/>
      </c>
      <c r="J25" s="9">
        <f>++IF(Tableau1[[#This Row],[Fournisseur]]="","",IF(Tableau1[[#This Row],[Date Paiement Effectif]]="","Non encore payée",IF(I25&lt;0,"Attention, paiement hors délais","OK RAS")))</f>
        <v/>
      </c>
      <c r="K25" s="54" t="n"/>
      <c r="L25" s="54" t="n"/>
      <c r="M25" s="31" t="n"/>
    </row>
    <row r="26" ht="14.25" customHeight="1">
      <c r="B26" s="55" t="n"/>
      <c r="C26" s="25" t="n"/>
      <c r="D26" s="25" t="n"/>
      <c r="E26" s="46" t="n"/>
      <c r="F26" s="67" t="n"/>
      <c r="G26" s="2">
        <f>+IF(Tableau1[[#This Row],[Fournisseur]]="","",IFERROR(VLOOKUP(Tableau1[[#This Row],[Fournisseur]],SuiviFrs,2,FALSE),"Vérifier la syntaxe : Fournisseur introuvable au niveau du suivi des conventions"))</f>
        <v/>
      </c>
      <c r="H26" s="7">
        <f>++IF(Tableau1[[#This Row],[Fournisseur]]="","",C26+G26-1)</f>
        <v/>
      </c>
      <c r="I26" s="8">
        <f>++IF(Tableau1[[#This Row],[Fournisseur]]="","",IF(H26-Tableau1[[#This Row],[Date Paiement Effectif]]&gt;0," ",H26-Tableau1[[#This Row],[Date Paiement Effectif]]))</f>
        <v/>
      </c>
      <c r="J26" s="9">
        <f>++IF(Tableau1[[#This Row],[Fournisseur]]="","",IF(Tableau1[[#This Row],[Date Paiement Effectif]]="","Non encore payée",IF(I26&lt;0,"Attention, paiement hors délais","OK RAS")))</f>
        <v/>
      </c>
      <c r="K26" s="54" t="n"/>
      <c r="L26" s="54" t="n"/>
      <c r="M26" s="31" t="n"/>
    </row>
    <row r="27" ht="14.25" customHeight="1">
      <c r="B27" s="55" t="n"/>
      <c r="C27" s="25" t="n"/>
      <c r="D27" s="25" t="n"/>
      <c r="E27" s="46" t="n"/>
      <c r="F27" s="67" t="n"/>
      <c r="G27" s="2">
        <f>+IF(Tableau1[[#This Row],[Fournisseur]]="","",IFERROR(VLOOKUP(Tableau1[[#This Row],[Fournisseur]],SuiviFrs,2,FALSE),"Vérifier la syntaxe : Fournisseur introuvable au niveau du suivi des conventions"))</f>
        <v/>
      </c>
      <c r="H27" s="7">
        <f>++IF(Tableau1[[#This Row],[Fournisseur]]="","",C27+G27-1)</f>
        <v/>
      </c>
      <c r="I27" s="8">
        <f>++IF(Tableau1[[#This Row],[Fournisseur]]="","",IF(H27-Tableau1[[#This Row],[Date Paiement Effectif]]&gt;0," ",H27-Tableau1[[#This Row],[Date Paiement Effectif]]))</f>
        <v/>
      </c>
      <c r="J27" s="9">
        <f>++IF(Tableau1[[#This Row],[Fournisseur]]="","",IF(Tableau1[[#This Row],[Date Paiement Effectif]]="","Non encore payée",IF(I27&lt;0,"Attention, paiement hors délais","OK RAS")))</f>
        <v/>
      </c>
      <c r="K27" s="54" t="n"/>
      <c r="L27" s="54" t="n"/>
      <c r="M27" s="31" t="n"/>
    </row>
    <row r="28" ht="14.25" customHeight="1">
      <c r="B28" s="55" t="n"/>
      <c r="C28" s="25" t="n"/>
      <c r="D28" s="25" t="n"/>
      <c r="E28" s="46" t="n"/>
      <c r="F28" s="67" t="n"/>
      <c r="G28" s="2">
        <f>+IF(Tableau1[[#This Row],[Fournisseur]]="","",IFERROR(VLOOKUP(Tableau1[[#This Row],[Fournisseur]],SuiviFrs,2,FALSE),"Vérifier la syntaxe : Fournisseur introuvable au niveau du suivi des conventions"))</f>
        <v/>
      </c>
      <c r="H28" s="7">
        <f>++IF(Tableau1[[#This Row],[Fournisseur]]="","",C28+G28-1)</f>
        <v/>
      </c>
      <c r="I28" s="8">
        <f>++IF(Tableau1[[#This Row],[Fournisseur]]="","",IF(H28-Tableau1[[#This Row],[Date Paiement Effectif]]&gt;0," ",H28-Tableau1[[#This Row],[Date Paiement Effectif]]))</f>
        <v/>
      </c>
      <c r="J28" s="9">
        <f>++IF(Tableau1[[#This Row],[Fournisseur]]="","",IF(Tableau1[[#This Row],[Date Paiement Effectif]]="","Non encore payée",IF(I28&lt;0,"Attention, paiement hors délais","OK RAS")))</f>
        <v/>
      </c>
      <c r="K28" s="54" t="n"/>
      <c r="L28" s="54" t="n"/>
      <c r="M28" s="31" t="n"/>
    </row>
    <row r="29" ht="14.25" customHeight="1">
      <c r="B29" s="55" t="n"/>
      <c r="C29" s="25" t="n"/>
      <c r="D29" s="25" t="n"/>
      <c r="E29" s="46" t="n"/>
      <c r="F29" s="67" t="n"/>
      <c r="G29" s="2">
        <f>+IF(Tableau1[[#This Row],[Fournisseur]]="","",IFERROR(VLOOKUP(Tableau1[[#This Row],[Fournisseur]],SuiviFrs,2,FALSE),"Vérifier la syntaxe : Fournisseur introuvable au niveau du suivi des conventions"))</f>
        <v/>
      </c>
      <c r="H29" s="7">
        <f>++IF(Tableau1[[#This Row],[Fournisseur]]="","",C29+G29-1)</f>
        <v/>
      </c>
      <c r="I29" s="8">
        <f>++IF(Tableau1[[#This Row],[Fournisseur]]="","",IF(H29-Tableau1[[#This Row],[Date Paiement Effectif]]&gt;0," ",H29-Tableau1[[#This Row],[Date Paiement Effectif]]))</f>
        <v/>
      </c>
      <c r="J29" s="9">
        <f>++IF(Tableau1[[#This Row],[Fournisseur]]="","",IF(Tableau1[[#This Row],[Date Paiement Effectif]]="","Non encore payée",IF(I29&lt;0,"Attention, paiement hors délais","OK RAS")))</f>
        <v/>
      </c>
      <c r="K29" s="54" t="n"/>
      <c r="L29" s="54" t="n"/>
      <c r="M29" s="31" t="n"/>
    </row>
    <row r="30" ht="14.25" customHeight="1">
      <c r="B30" s="55" t="n"/>
      <c r="C30" s="25" t="n"/>
      <c r="D30" s="25" t="n"/>
      <c r="E30" s="46" t="n"/>
      <c r="F30" s="67" t="n"/>
      <c r="G30" s="2">
        <f>+IF(Tableau1[[#This Row],[Fournisseur]]="","",IFERROR(VLOOKUP(Tableau1[[#This Row],[Fournisseur]],SuiviFrs,2,FALSE),"Vérifier la syntaxe : Fournisseur introuvable au niveau du suivi des conventions"))</f>
        <v/>
      </c>
      <c r="H30" s="7">
        <f>++IF(Tableau1[[#This Row],[Fournisseur]]="","",C30+G30-1)</f>
        <v/>
      </c>
      <c r="I30" s="8">
        <f>++IF(Tableau1[[#This Row],[Fournisseur]]="","",IF(H30-Tableau1[[#This Row],[Date Paiement Effectif]]&gt;0," ",H30-Tableau1[[#This Row],[Date Paiement Effectif]]))</f>
        <v/>
      </c>
      <c r="J30" s="9">
        <f>++IF(Tableau1[[#This Row],[Fournisseur]]="","",IF(Tableau1[[#This Row],[Date Paiement Effectif]]="","Non encore payée",IF(I30&lt;0,"Attention, paiement hors délais","OK RAS")))</f>
        <v/>
      </c>
      <c r="K30" s="54" t="n"/>
      <c r="L30" s="54" t="n"/>
      <c r="M30" s="31" t="n"/>
    </row>
    <row r="31" ht="14.25" customHeight="1">
      <c r="B31" s="55" t="n"/>
      <c r="C31" s="25" t="n"/>
      <c r="D31" s="25" t="n"/>
      <c r="E31" s="46" t="n"/>
      <c r="F31" s="67" t="n"/>
      <c r="G31" s="2">
        <f>+IF(Tableau1[[#This Row],[Fournisseur]]="","",IFERROR(VLOOKUP(Tableau1[[#This Row],[Fournisseur]],SuiviFrs,2,FALSE),"Vérifier la syntaxe : Fournisseur introuvable au niveau du suivi des conventions"))</f>
        <v/>
      </c>
      <c r="H31" s="7">
        <f>++IF(Tableau1[[#This Row],[Fournisseur]]="","",C31+G31-1)</f>
        <v/>
      </c>
      <c r="I31" s="8">
        <f>++IF(Tableau1[[#This Row],[Fournisseur]]="","",IF(H31-Tableau1[[#This Row],[Date Paiement Effectif]]&gt;0," ",H31-Tableau1[[#This Row],[Date Paiement Effectif]]))</f>
        <v/>
      </c>
      <c r="J31" s="9">
        <f>++IF(Tableau1[[#This Row],[Fournisseur]]="","",IF(Tableau1[[#This Row],[Date Paiement Effectif]]="","Non encore payée",IF(I31&lt;0,"Attention, paiement hors délais","OK RAS")))</f>
        <v/>
      </c>
      <c r="K31" s="54" t="n"/>
      <c r="L31" s="54" t="n"/>
      <c r="M31" s="31" t="n"/>
    </row>
    <row r="32" ht="14.25" customHeight="1">
      <c r="B32" s="55" t="n"/>
      <c r="C32" s="25" t="n"/>
      <c r="D32" s="25" t="n"/>
      <c r="E32" s="46" t="n"/>
      <c r="F32" s="67" t="n"/>
      <c r="G32" s="2">
        <f>+IF(Tableau1[[#This Row],[Fournisseur]]="","",IFERROR(VLOOKUP(Tableau1[[#This Row],[Fournisseur]],SuiviFrs,2,FALSE),"Vérifier la syntaxe : Fournisseur introuvable au niveau du suivi des conventions"))</f>
        <v/>
      </c>
      <c r="H32" s="7">
        <f>++IF(Tableau1[[#This Row],[Fournisseur]]="","",C32+G32-1)</f>
        <v/>
      </c>
      <c r="I32" s="8">
        <f>++IF(Tableau1[[#This Row],[Fournisseur]]="","",IF(H32-Tableau1[[#This Row],[Date Paiement Effectif]]&gt;0," ",H32-Tableau1[[#This Row],[Date Paiement Effectif]]))</f>
        <v/>
      </c>
      <c r="J32" s="9">
        <f>++IF(Tableau1[[#This Row],[Fournisseur]]="","",IF(Tableau1[[#This Row],[Date Paiement Effectif]]="","Non encore payée",IF(I32&lt;0,"Attention, paiement hors délais","OK RAS")))</f>
        <v/>
      </c>
      <c r="K32" s="54" t="n"/>
      <c r="L32" s="54" t="n"/>
      <c r="M32" s="31" t="n"/>
    </row>
    <row r="33" ht="14.25" customHeight="1">
      <c r="B33" s="55" t="n"/>
      <c r="C33" s="25" t="n"/>
      <c r="D33" s="25" t="n"/>
      <c r="E33" s="46" t="n"/>
      <c r="F33" s="67" t="n"/>
      <c r="G33" s="2">
        <f>+IF(Tableau1[[#This Row],[Fournisseur]]="","",IFERROR(VLOOKUP(Tableau1[[#This Row],[Fournisseur]],SuiviFrs,2,FALSE),"Vérifier la syntaxe : Fournisseur introuvable au niveau du suivi des conventions"))</f>
        <v/>
      </c>
      <c r="H33" s="7">
        <f>++IF(Tableau1[[#This Row],[Fournisseur]]="","",C33+G33-1)</f>
        <v/>
      </c>
      <c r="I33" s="8">
        <f>++IF(Tableau1[[#This Row],[Fournisseur]]="","",IF(H33-Tableau1[[#This Row],[Date Paiement Effectif]]&gt;0," ",H33-Tableau1[[#This Row],[Date Paiement Effectif]]))</f>
        <v/>
      </c>
      <c r="J33" s="9">
        <f>++IF(Tableau1[[#This Row],[Fournisseur]]="","",IF(Tableau1[[#This Row],[Date Paiement Effectif]]="","Non encore payée",IF(I33&lt;0,"Attention, paiement hors délais","OK RAS")))</f>
        <v/>
      </c>
      <c r="K33" s="54" t="n"/>
      <c r="L33" s="54" t="n"/>
      <c r="M33" s="31" t="n"/>
    </row>
    <row r="34" ht="14.25" customHeight="1">
      <c r="B34" s="55" t="n"/>
      <c r="C34" s="25" t="n"/>
      <c r="D34" s="25" t="n"/>
      <c r="E34" s="46" t="n"/>
      <c r="F34" s="67" t="n"/>
      <c r="G34" s="2">
        <f>+IF(Tableau1[[#This Row],[Fournisseur]]="","",IFERROR(VLOOKUP(Tableau1[[#This Row],[Fournisseur]],SuiviFrs,2,FALSE),"Vérifier la syntaxe : Fournisseur introuvable au niveau du suivi des conventions"))</f>
        <v/>
      </c>
      <c r="H34" s="7">
        <f>++IF(Tableau1[[#This Row],[Fournisseur]]="","",C34+G34-1)</f>
        <v/>
      </c>
      <c r="I34" s="8">
        <f>++IF(Tableau1[[#This Row],[Fournisseur]]="","",IF(H34-Tableau1[[#This Row],[Date Paiement Effectif]]&gt;0," ",H34-Tableau1[[#This Row],[Date Paiement Effectif]]))</f>
        <v/>
      </c>
      <c r="J34" s="9">
        <f>++IF(Tableau1[[#This Row],[Fournisseur]]="","",IF(Tableau1[[#This Row],[Date Paiement Effectif]]="","Non encore payée",IF(I34&lt;0,"Attention, paiement hors délais","OK RAS")))</f>
        <v/>
      </c>
      <c r="K34" s="54" t="n"/>
      <c r="L34" s="54" t="n"/>
      <c r="M34" s="31" t="n"/>
    </row>
    <row r="35" ht="14.25" customHeight="1">
      <c r="B35" s="55" t="n"/>
      <c r="C35" s="25" t="n"/>
      <c r="D35" s="25" t="n"/>
      <c r="E35" s="46" t="n"/>
      <c r="F35" s="67" t="n"/>
      <c r="G35" s="2">
        <f>+IF(Tableau1[[#This Row],[Fournisseur]]="","",IFERROR(VLOOKUP(Tableau1[[#This Row],[Fournisseur]],SuiviFrs,2,FALSE),"Vérifier la syntaxe : Fournisseur introuvable au niveau du suivi des conventions"))</f>
        <v/>
      </c>
      <c r="H35" s="7">
        <f>++IF(Tableau1[[#This Row],[Fournisseur]]="","",C35+G35-1)</f>
        <v/>
      </c>
      <c r="I35" s="8">
        <f>++IF(Tableau1[[#This Row],[Fournisseur]]="","",IF(H35-Tableau1[[#This Row],[Date Paiement Effectif]]&gt;0," ",H35-Tableau1[[#This Row],[Date Paiement Effectif]]))</f>
        <v/>
      </c>
      <c r="J35" s="9">
        <f>++IF(Tableau1[[#This Row],[Fournisseur]]="","",IF(Tableau1[[#This Row],[Date Paiement Effectif]]="","Non encore payée",IF(I35&lt;0,"Attention, paiement hors délais","OK RAS")))</f>
        <v/>
      </c>
      <c r="K35" s="54" t="n"/>
      <c r="L35" s="54" t="n"/>
      <c r="M35" s="31" t="n"/>
    </row>
    <row r="36" ht="14.25" customHeight="1">
      <c r="B36" s="55" t="n"/>
      <c r="C36" s="25" t="n"/>
      <c r="D36" s="25" t="n"/>
      <c r="E36" s="46" t="n"/>
      <c r="F36" s="67" t="n"/>
      <c r="G36" s="2">
        <f>+IF(Tableau1[[#This Row],[Fournisseur]]="","",IFERROR(VLOOKUP(Tableau1[[#This Row],[Fournisseur]],SuiviFrs,2,FALSE),"Vérifier la syntaxe : Fournisseur introuvable au niveau du suivi des conventions"))</f>
        <v/>
      </c>
      <c r="H36" s="7">
        <f>++IF(Tableau1[[#This Row],[Fournisseur]]="","",C36+G36-1)</f>
        <v/>
      </c>
      <c r="I36" s="8">
        <f>++IF(Tableau1[[#This Row],[Fournisseur]]="","",IF(H36-Tableau1[[#This Row],[Date Paiement Effectif]]&gt;0," ",H36-Tableau1[[#This Row],[Date Paiement Effectif]]))</f>
        <v/>
      </c>
      <c r="J36" s="9">
        <f>++IF(Tableau1[[#This Row],[Fournisseur]]="","",IF(Tableau1[[#This Row],[Date Paiement Effectif]]="","Non encore payée",IF(I36&lt;0,"Attention, paiement hors délais","OK RAS")))</f>
        <v/>
      </c>
      <c r="K36" s="54" t="n"/>
      <c r="L36" s="54" t="n"/>
      <c r="M36" s="31" t="n"/>
    </row>
    <row r="37" ht="14.25" customHeight="1">
      <c r="B37" s="55" t="n"/>
      <c r="C37" s="25" t="n"/>
      <c r="D37" s="25" t="n"/>
      <c r="E37" s="46" t="n"/>
      <c r="F37" s="67" t="n"/>
      <c r="G37" s="2">
        <f>+IF(Tableau1[[#This Row],[Fournisseur]]="","",IFERROR(VLOOKUP(Tableau1[[#This Row],[Fournisseur]],SuiviFrs,2,FALSE),"Vérifier la syntaxe : Fournisseur introuvable au niveau du suivi des conventions"))</f>
        <v/>
      </c>
      <c r="H37" s="7">
        <f>++IF(Tableau1[[#This Row],[Fournisseur]]="","",C37+G37-1)</f>
        <v/>
      </c>
      <c r="I37" s="8">
        <f>++IF(Tableau1[[#This Row],[Fournisseur]]="","",IF(H37-Tableau1[[#This Row],[Date Paiement Effectif]]&gt;0," ",H37-Tableau1[[#This Row],[Date Paiement Effectif]]))</f>
        <v/>
      </c>
      <c r="J37" s="9">
        <f>++IF(Tableau1[[#This Row],[Fournisseur]]="","",IF(Tableau1[[#This Row],[Date Paiement Effectif]]="","Non encore payée",IF(I37&lt;0,"Attention, paiement hors délais","OK RAS")))</f>
        <v/>
      </c>
      <c r="K37" s="54" t="n"/>
      <c r="L37" s="54" t="n"/>
      <c r="M37" s="31" t="n"/>
    </row>
    <row r="38" ht="14.25" customHeight="1">
      <c r="B38" s="55" t="n"/>
      <c r="C38" s="25" t="n"/>
      <c r="D38" s="25" t="n"/>
      <c r="E38" s="46" t="n"/>
      <c r="F38" s="67" t="n"/>
      <c r="G38" s="2">
        <f>+IF(Tableau1[[#This Row],[Fournisseur]]="","",IFERROR(VLOOKUP(Tableau1[[#This Row],[Fournisseur]],SuiviFrs,2,FALSE),"Vérifier la syntaxe : Fournisseur introuvable au niveau du suivi des conventions"))</f>
        <v/>
      </c>
      <c r="H38" s="7">
        <f>++IF(Tableau1[[#This Row],[Fournisseur]]="","",C38+G38-1)</f>
        <v/>
      </c>
      <c r="I38" s="8">
        <f>++IF(Tableau1[[#This Row],[Fournisseur]]="","",IF(H38-Tableau1[[#This Row],[Date Paiement Effectif]]&gt;0," ",H38-Tableau1[[#This Row],[Date Paiement Effectif]]))</f>
        <v/>
      </c>
      <c r="J38" s="9">
        <f>++IF(Tableau1[[#This Row],[Fournisseur]]="","",IF(Tableau1[[#This Row],[Date Paiement Effectif]]="","Non encore payée",IF(I38&lt;0,"Attention, paiement hors délais","OK RAS")))</f>
        <v/>
      </c>
      <c r="K38" s="54" t="n"/>
      <c r="L38" s="54" t="n"/>
      <c r="M38" s="31" t="n"/>
    </row>
    <row r="39" ht="14.25" customHeight="1">
      <c r="B39" s="55" t="n"/>
      <c r="C39" s="25" t="n"/>
      <c r="D39" s="25" t="n"/>
      <c r="E39" s="46" t="n"/>
      <c r="F39" s="67" t="n"/>
      <c r="G39" s="2">
        <f>+IF(Tableau1[[#This Row],[Fournisseur]]="","",IFERROR(VLOOKUP(Tableau1[[#This Row],[Fournisseur]],SuiviFrs,2,FALSE),"Vérifier la syntaxe : Fournisseur introuvable au niveau du suivi des conventions"))</f>
        <v/>
      </c>
      <c r="H39" s="7">
        <f>++IF(Tableau1[[#This Row],[Fournisseur]]="","",C39+G39-1)</f>
        <v/>
      </c>
      <c r="I39" s="8">
        <f>++IF(Tableau1[[#This Row],[Fournisseur]]="","",IF(H39-Tableau1[[#This Row],[Date Paiement Effectif]]&gt;0," ",H39-Tableau1[[#This Row],[Date Paiement Effectif]]))</f>
        <v/>
      </c>
      <c r="J39" s="9">
        <f>++IF(Tableau1[[#This Row],[Fournisseur]]="","",IF(Tableau1[[#This Row],[Date Paiement Effectif]]="","Non encore payée",IF(I39&lt;0,"Attention, paiement hors délais","OK RAS")))</f>
        <v/>
      </c>
      <c r="K39" s="54" t="n"/>
      <c r="L39" s="54" t="n"/>
      <c r="M39" s="31" t="n"/>
    </row>
    <row r="40" ht="14.25" customHeight="1">
      <c r="B40" s="55" t="n"/>
      <c r="C40" s="25" t="n"/>
      <c r="D40" s="25" t="n"/>
      <c r="E40" s="46" t="n"/>
      <c r="F40" s="67" t="n"/>
      <c r="G40" s="2">
        <f>+IF(Tableau1[[#This Row],[Fournisseur]]="","",IFERROR(VLOOKUP(Tableau1[[#This Row],[Fournisseur]],SuiviFrs,2,FALSE),"Vérifier la syntaxe : Fournisseur introuvable au niveau du suivi des conventions"))</f>
        <v/>
      </c>
      <c r="H40" s="7">
        <f>++IF(Tableau1[[#This Row],[Fournisseur]]="","",C40+G40-1)</f>
        <v/>
      </c>
      <c r="I40" s="8">
        <f>++IF(Tableau1[[#This Row],[Fournisseur]]="","",IF(H40-Tableau1[[#This Row],[Date Paiement Effectif]]&gt;0," ",H40-Tableau1[[#This Row],[Date Paiement Effectif]]))</f>
        <v/>
      </c>
      <c r="J40" s="9">
        <f>++IF(Tableau1[[#This Row],[Fournisseur]]="","",IF(Tableau1[[#This Row],[Date Paiement Effectif]]="","Non encore payée",IF(I40&lt;0,"Attention, paiement hors délais","OK RAS")))</f>
        <v/>
      </c>
      <c r="K40" s="54" t="n"/>
      <c r="L40" s="54" t="n"/>
      <c r="M40" s="31" t="n"/>
    </row>
    <row r="41" ht="14.25" customHeight="1">
      <c r="B41" s="55" t="n"/>
      <c r="C41" s="25" t="n"/>
      <c r="D41" s="25" t="n"/>
      <c r="E41" s="46" t="n"/>
      <c r="F41" s="67" t="n"/>
      <c r="G41" s="2">
        <f>+IF(Tableau1[[#This Row],[Fournisseur]]="","",IFERROR(VLOOKUP(Tableau1[[#This Row],[Fournisseur]],SuiviFrs,2,FALSE),"Vérifier la syntaxe : Fournisseur introuvable au niveau du suivi des conventions"))</f>
        <v/>
      </c>
      <c r="H41" s="7">
        <f>++IF(Tableau1[[#This Row],[Fournisseur]]="","",C41+G41-1)</f>
        <v/>
      </c>
      <c r="I41" s="8">
        <f>++IF(Tableau1[[#This Row],[Fournisseur]]="","",IF(H41-Tableau1[[#This Row],[Date Paiement Effectif]]&gt;0," ",H41-Tableau1[[#This Row],[Date Paiement Effectif]]))</f>
        <v/>
      </c>
      <c r="J41" s="9">
        <f>++IF(Tableau1[[#This Row],[Fournisseur]]="","",IF(Tableau1[[#This Row],[Date Paiement Effectif]]="","Non encore payée",IF(I41&lt;0,"Attention, paiement hors délais","OK RAS")))</f>
        <v/>
      </c>
      <c r="K41" s="54" t="n"/>
      <c r="L41" s="54" t="n"/>
      <c r="M41" s="31" t="n"/>
    </row>
    <row r="42" ht="14.25" customHeight="1">
      <c r="B42" s="55" t="n"/>
      <c r="C42" s="25" t="n"/>
      <c r="D42" s="25" t="n"/>
      <c r="E42" s="46" t="n"/>
      <c r="F42" s="67" t="n"/>
      <c r="G42" s="2">
        <f>+IF(Tableau1[[#This Row],[Fournisseur]]="","",IFERROR(VLOOKUP(Tableau1[[#This Row],[Fournisseur]],SuiviFrs,2,FALSE),"Vérifier la syntaxe : Fournisseur introuvable au niveau du suivi des conventions"))</f>
        <v/>
      </c>
      <c r="H42" s="7">
        <f>++IF(Tableau1[[#This Row],[Fournisseur]]="","",C42+G42-1)</f>
        <v/>
      </c>
      <c r="I42" s="8">
        <f>++IF(Tableau1[[#This Row],[Fournisseur]]="","",IF(H42-Tableau1[[#This Row],[Date Paiement Effectif]]&gt;0," ",H42-Tableau1[[#This Row],[Date Paiement Effectif]]))</f>
        <v/>
      </c>
      <c r="J42" s="9">
        <f>++IF(Tableau1[[#This Row],[Fournisseur]]="","",IF(Tableau1[[#This Row],[Date Paiement Effectif]]="","Non encore payée",IF(I42&lt;0,"Attention, paiement hors délais","OK RAS")))</f>
        <v/>
      </c>
      <c r="K42" s="54" t="n"/>
      <c r="L42" s="54" t="n"/>
      <c r="M42" s="31" t="n"/>
    </row>
    <row r="43" ht="14.25" customHeight="1">
      <c r="B43" s="55" t="n"/>
      <c r="C43" s="25" t="n"/>
      <c r="D43" s="25" t="n"/>
      <c r="E43" s="46" t="n"/>
      <c r="F43" s="67" t="n"/>
      <c r="G43" s="2">
        <f>+IF(Tableau1[[#This Row],[Fournisseur]]="","",IFERROR(VLOOKUP(Tableau1[[#This Row],[Fournisseur]],SuiviFrs,2,FALSE),"Vérifier la syntaxe : Fournisseur introuvable au niveau du suivi des conventions"))</f>
        <v/>
      </c>
      <c r="H43" s="7">
        <f>++IF(Tableau1[[#This Row],[Fournisseur]]="","",C43+G43-1)</f>
        <v/>
      </c>
      <c r="I43" s="8">
        <f>++IF(Tableau1[[#This Row],[Fournisseur]]="","",IF(H43-Tableau1[[#This Row],[Date Paiement Effectif]]&gt;0," ",H43-Tableau1[[#This Row],[Date Paiement Effectif]]))</f>
        <v/>
      </c>
      <c r="J43" s="9">
        <f>++IF(Tableau1[[#This Row],[Fournisseur]]="","",IF(Tableau1[[#This Row],[Date Paiement Effectif]]="","Non encore payée",IF(I43&lt;0,"Attention, paiement hors délais","OK RAS")))</f>
        <v/>
      </c>
      <c r="K43" s="54" t="n"/>
      <c r="L43" s="54" t="n"/>
      <c r="M43" s="31" t="n"/>
    </row>
    <row r="44" ht="14.25" customHeight="1">
      <c r="B44" s="55" t="n"/>
      <c r="C44" s="25" t="n"/>
      <c r="D44" s="25" t="n"/>
      <c r="E44" s="46" t="n"/>
      <c r="F44" s="67" t="n"/>
      <c r="G44" s="2">
        <f>+IF(Tableau1[[#This Row],[Fournisseur]]="","",IFERROR(VLOOKUP(Tableau1[[#This Row],[Fournisseur]],SuiviFrs,2,FALSE),"Vérifier la syntaxe : Fournisseur introuvable au niveau du suivi des conventions"))</f>
        <v/>
      </c>
      <c r="H44" s="7">
        <f>++IF(Tableau1[[#This Row],[Fournisseur]]="","",C44+G44-1)</f>
        <v/>
      </c>
      <c r="I44" s="8">
        <f>++IF(Tableau1[[#This Row],[Fournisseur]]="","",IF(H44-Tableau1[[#This Row],[Date Paiement Effectif]]&gt;0," ",H44-Tableau1[[#This Row],[Date Paiement Effectif]]))</f>
        <v/>
      </c>
      <c r="J44" s="9">
        <f>++IF(Tableau1[[#This Row],[Fournisseur]]="","",IF(Tableau1[[#This Row],[Date Paiement Effectif]]="","Non encore payée",IF(I44&lt;0,"Attention, paiement hors délais","OK RAS")))</f>
        <v/>
      </c>
      <c r="K44" s="54" t="n"/>
      <c r="L44" s="54" t="n"/>
      <c r="M44" s="31" t="n"/>
    </row>
    <row r="45" ht="14.25" customHeight="1">
      <c r="B45" s="55" t="n"/>
      <c r="C45" s="25" t="n"/>
      <c r="D45" s="25" t="n"/>
      <c r="E45" s="46" t="n"/>
      <c r="F45" s="67" t="n"/>
      <c r="G45" s="2">
        <f>+IF(Tableau1[[#This Row],[Fournisseur]]="","",IFERROR(VLOOKUP(Tableau1[[#This Row],[Fournisseur]],SuiviFrs,2,FALSE),"Vérifier la syntaxe : Fournisseur introuvable au niveau du suivi des conventions"))</f>
        <v/>
      </c>
      <c r="H45" s="7">
        <f>++IF(Tableau1[[#This Row],[Fournisseur]]="","",C45+G45-1)</f>
        <v/>
      </c>
      <c r="I45" s="8">
        <f>++IF(Tableau1[[#This Row],[Fournisseur]]="","",IF(H45-Tableau1[[#This Row],[Date Paiement Effectif]]&gt;0," ",H45-Tableau1[[#This Row],[Date Paiement Effectif]]))</f>
        <v/>
      </c>
      <c r="J45" s="9">
        <f>++IF(Tableau1[[#This Row],[Fournisseur]]="","",IF(Tableau1[[#This Row],[Date Paiement Effectif]]="","Non encore payée",IF(I45&lt;0,"Attention, paiement hors délais","OK RAS")))</f>
        <v/>
      </c>
      <c r="K45" s="54" t="n"/>
      <c r="L45" s="54" t="n"/>
      <c r="M45" s="31" t="n"/>
    </row>
    <row r="46" ht="14.25" customHeight="1">
      <c r="B46" s="55" t="n"/>
      <c r="C46" s="25" t="n"/>
      <c r="D46" s="25" t="n"/>
      <c r="E46" s="46" t="n"/>
      <c r="F46" s="67" t="n"/>
      <c r="G46" s="2">
        <f>+IF(Tableau1[[#This Row],[Fournisseur]]="","",IFERROR(VLOOKUP(Tableau1[[#This Row],[Fournisseur]],SuiviFrs,2,FALSE),"Vérifier la syntaxe : Fournisseur introuvable au niveau du suivi des conventions"))</f>
        <v/>
      </c>
      <c r="H46" s="7">
        <f>++IF(Tableau1[[#This Row],[Fournisseur]]="","",C46+G46-1)</f>
        <v/>
      </c>
      <c r="I46" s="8">
        <f>++IF(Tableau1[[#This Row],[Fournisseur]]="","",IF(H46-Tableau1[[#This Row],[Date Paiement Effectif]]&gt;0," ",H46-Tableau1[[#This Row],[Date Paiement Effectif]]))</f>
        <v/>
      </c>
      <c r="J46" s="9">
        <f>++IF(Tableau1[[#This Row],[Fournisseur]]="","",IF(Tableau1[[#This Row],[Date Paiement Effectif]]="","Non encore payée",IF(I46&lt;0,"Attention, paiement hors délais","OK RAS")))</f>
        <v/>
      </c>
      <c r="K46" s="54" t="n"/>
      <c r="L46" s="54" t="n"/>
      <c r="M46" s="31" t="n"/>
    </row>
    <row r="47" ht="14.25" customHeight="1">
      <c r="B47" s="55" t="n"/>
      <c r="C47" s="25" t="n"/>
      <c r="D47" s="25" t="n"/>
      <c r="E47" s="46" t="n"/>
      <c r="F47" s="67" t="n"/>
      <c r="G47" s="2">
        <f>+IF(Tableau1[[#This Row],[Fournisseur]]="","",IFERROR(VLOOKUP(Tableau1[[#This Row],[Fournisseur]],SuiviFrs,2,FALSE),"Vérifier la syntaxe : Fournisseur introuvable au niveau du suivi des conventions"))</f>
        <v/>
      </c>
      <c r="H47" s="7">
        <f>++IF(Tableau1[[#This Row],[Fournisseur]]="","",C47+G47-1)</f>
        <v/>
      </c>
      <c r="I47" s="8">
        <f>++IF(Tableau1[[#This Row],[Fournisseur]]="","",IF(H47-Tableau1[[#This Row],[Date Paiement Effectif]]&gt;0," ",H47-Tableau1[[#This Row],[Date Paiement Effectif]]))</f>
        <v/>
      </c>
      <c r="J47" s="9">
        <f>++IF(Tableau1[[#This Row],[Fournisseur]]="","",IF(Tableau1[[#This Row],[Date Paiement Effectif]]="","Non encore payée",IF(I47&lt;0,"Attention, paiement hors délais","OK RAS")))</f>
        <v/>
      </c>
      <c r="K47" s="54" t="n"/>
      <c r="L47" s="54" t="n"/>
      <c r="M47" s="31" t="n"/>
    </row>
    <row r="48" ht="14.25" customHeight="1">
      <c r="B48" s="55" t="n"/>
      <c r="C48" s="25" t="n"/>
      <c r="D48" s="25" t="n"/>
      <c r="E48" s="46" t="n"/>
      <c r="F48" s="67" t="n"/>
      <c r="G48" s="2">
        <f>+IF(Tableau1[[#This Row],[Fournisseur]]="","",IFERROR(VLOOKUP(Tableau1[[#This Row],[Fournisseur]],SuiviFrs,2,FALSE),"Vérifier la syntaxe : Fournisseur introuvable au niveau du suivi des conventions"))</f>
        <v/>
      </c>
      <c r="H48" s="7">
        <f>++IF(Tableau1[[#This Row],[Fournisseur]]="","",C48+G48-1)</f>
        <v/>
      </c>
      <c r="I48" s="8">
        <f>++IF(Tableau1[[#This Row],[Fournisseur]]="","",IF(H48-Tableau1[[#This Row],[Date Paiement Effectif]]&gt;0," ",H48-Tableau1[[#This Row],[Date Paiement Effectif]]))</f>
        <v/>
      </c>
      <c r="J48" s="9">
        <f>++IF(Tableau1[[#This Row],[Fournisseur]]="","",IF(Tableau1[[#This Row],[Date Paiement Effectif]]="","Non encore payée",IF(I48&lt;0,"Attention, paiement hors délais","OK RAS")))</f>
        <v/>
      </c>
      <c r="K48" s="54" t="n"/>
      <c r="L48" s="54" t="n"/>
      <c r="M48" s="31" t="n"/>
    </row>
    <row r="49" ht="14.25" customHeight="1">
      <c r="B49" s="55" t="n"/>
      <c r="C49" s="25" t="n"/>
      <c r="D49" s="25" t="n"/>
      <c r="E49" s="46" t="n"/>
      <c r="F49" s="67" t="n"/>
      <c r="G49" s="2">
        <f>+IF(Tableau1[[#This Row],[Fournisseur]]="","",IFERROR(VLOOKUP(Tableau1[[#This Row],[Fournisseur]],SuiviFrs,2,FALSE),"Vérifier la syntaxe : Fournisseur introuvable au niveau du suivi des conventions"))</f>
        <v/>
      </c>
      <c r="H49" s="7">
        <f>++IF(Tableau1[[#This Row],[Fournisseur]]="","",C49+G49-1)</f>
        <v/>
      </c>
      <c r="I49" s="8">
        <f>++IF(Tableau1[[#This Row],[Fournisseur]]="","",IF(H49-Tableau1[[#This Row],[Date Paiement Effectif]]&gt;0," ",H49-Tableau1[[#This Row],[Date Paiement Effectif]]))</f>
        <v/>
      </c>
      <c r="J49" s="9">
        <f>++IF(Tableau1[[#This Row],[Fournisseur]]="","",IF(Tableau1[[#This Row],[Date Paiement Effectif]]="","Non encore payée",IF(I49&lt;0,"Attention, paiement hors délais","OK RAS")))</f>
        <v/>
      </c>
      <c r="K49" s="54" t="n"/>
      <c r="L49" s="54" t="n"/>
      <c r="M49" s="31" t="n"/>
    </row>
    <row r="50" ht="14.25" customHeight="1">
      <c r="B50" s="55" t="n"/>
      <c r="C50" s="25" t="n"/>
      <c r="D50" s="25" t="n"/>
      <c r="E50" s="46" t="n"/>
      <c r="F50" s="67" t="n"/>
      <c r="G50" s="2">
        <f>+IF(Tableau1[[#This Row],[Fournisseur]]="","",IFERROR(VLOOKUP(Tableau1[[#This Row],[Fournisseur]],SuiviFrs,2,FALSE),"Vérifier la syntaxe : Fournisseur introuvable au niveau du suivi des conventions"))</f>
        <v/>
      </c>
      <c r="H50" s="7">
        <f>++IF(Tableau1[[#This Row],[Fournisseur]]="","",C50+G50-1)</f>
        <v/>
      </c>
      <c r="I50" s="8">
        <f>++IF(Tableau1[[#This Row],[Fournisseur]]="","",IF(H50-Tableau1[[#This Row],[Date Paiement Effectif]]&gt;0," ",H50-Tableau1[[#This Row],[Date Paiement Effectif]]))</f>
        <v/>
      </c>
      <c r="J50" s="9">
        <f>++IF(Tableau1[[#This Row],[Fournisseur]]="","",IF(Tableau1[[#This Row],[Date Paiement Effectif]]="","Non encore payée",IF(I50&lt;0,"Attention, paiement hors délais","OK RAS")))</f>
        <v/>
      </c>
      <c r="K50" s="54" t="n"/>
      <c r="L50" s="54" t="n"/>
      <c r="M50" s="31" t="n"/>
    </row>
    <row r="51" ht="14.25" customHeight="1">
      <c r="B51" s="55" t="n"/>
      <c r="C51" s="25" t="n"/>
      <c r="D51" s="25" t="n"/>
      <c r="E51" s="46" t="n"/>
      <c r="F51" s="67" t="n"/>
      <c r="G51" s="2">
        <f>+IF(Tableau1[[#This Row],[Fournisseur]]="","",IFERROR(VLOOKUP(Tableau1[[#This Row],[Fournisseur]],SuiviFrs,2,FALSE),"Vérifier la syntaxe : Fournisseur introuvable au niveau du suivi des conventions"))</f>
        <v/>
      </c>
      <c r="H51" s="7">
        <f>++IF(Tableau1[[#This Row],[Fournisseur]]="","",C51+G51-1)</f>
        <v/>
      </c>
      <c r="I51" s="8">
        <f>++IF(Tableau1[[#This Row],[Fournisseur]]="","",IF(H51-Tableau1[[#This Row],[Date Paiement Effectif]]&gt;0," ",H51-Tableau1[[#This Row],[Date Paiement Effectif]]))</f>
        <v/>
      </c>
      <c r="J51" s="9">
        <f>++IF(Tableau1[[#This Row],[Fournisseur]]="","",IF(Tableau1[[#This Row],[Date Paiement Effectif]]="","Non encore payée",IF(I51&lt;0,"Attention, paiement hors délais","OK RAS")))</f>
        <v/>
      </c>
      <c r="K51" s="54" t="n"/>
      <c r="L51" s="54" t="n"/>
      <c r="M51" s="31" t="n"/>
    </row>
    <row r="52" ht="14.25" customHeight="1">
      <c r="B52" s="55" t="n"/>
      <c r="C52" s="25" t="n"/>
      <c r="D52" s="25" t="n"/>
      <c r="E52" s="46" t="n"/>
      <c r="F52" s="67" t="n"/>
      <c r="G52" s="2">
        <f>+IF(Tableau1[[#This Row],[Fournisseur]]="","",IFERROR(VLOOKUP(Tableau1[[#This Row],[Fournisseur]],SuiviFrs,2,FALSE),"Vérifier la syntaxe : Fournisseur introuvable au niveau du suivi des conventions"))</f>
        <v/>
      </c>
      <c r="H52" s="7">
        <f>++IF(Tableau1[[#This Row],[Fournisseur]]="","",C52+G52-1)</f>
        <v/>
      </c>
      <c r="I52" s="8">
        <f>++IF(Tableau1[[#This Row],[Fournisseur]]="","",IF(H52-Tableau1[[#This Row],[Date Paiement Effectif]]&gt;0," ",H52-Tableau1[[#This Row],[Date Paiement Effectif]]))</f>
        <v/>
      </c>
      <c r="J52" s="9">
        <f>++IF(Tableau1[[#This Row],[Fournisseur]]="","",IF(Tableau1[[#This Row],[Date Paiement Effectif]]="","Non encore payée",IF(I52&lt;0,"Attention, paiement hors délais","OK RAS")))</f>
        <v/>
      </c>
      <c r="K52" s="54" t="n"/>
      <c r="L52" s="54" t="n"/>
      <c r="M52" s="31" t="n"/>
    </row>
    <row r="53" ht="14.25" customHeight="1">
      <c r="B53" s="55" t="n"/>
      <c r="C53" s="25" t="n"/>
      <c r="D53" s="25" t="n"/>
      <c r="E53" s="46" t="n"/>
      <c r="F53" s="67" t="n"/>
      <c r="G53" s="2">
        <f>+IF(Tableau1[[#This Row],[Fournisseur]]="","",IFERROR(VLOOKUP(Tableau1[[#This Row],[Fournisseur]],SuiviFrs,2,FALSE),"Vérifier la syntaxe : Fournisseur introuvable au niveau du suivi des conventions"))</f>
        <v/>
      </c>
      <c r="H53" s="7">
        <f>++IF(Tableau1[[#This Row],[Fournisseur]]="","",C53+G53-1)</f>
        <v/>
      </c>
      <c r="I53" s="8">
        <f>++IF(Tableau1[[#This Row],[Fournisseur]]="","",IF(H53-Tableau1[[#This Row],[Date Paiement Effectif]]&gt;0," ",H53-Tableau1[[#This Row],[Date Paiement Effectif]]))</f>
        <v/>
      </c>
      <c r="J53" s="9">
        <f>++IF(Tableau1[[#This Row],[Fournisseur]]="","",IF(Tableau1[[#This Row],[Date Paiement Effectif]]="","Non encore payée",IF(I53&lt;0,"Attention, paiement hors délais","OK RAS")))</f>
        <v/>
      </c>
      <c r="K53" s="54" t="n"/>
      <c r="L53" s="54" t="n"/>
      <c r="M53" s="31" t="n"/>
    </row>
    <row r="54" ht="14.25" customHeight="1">
      <c r="B54" s="55" t="n"/>
      <c r="C54" s="25" t="n"/>
      <c r="D54" s="25" t="n"/>
      <c r="E54" s="46" t="n"/>
      <c r="F54" s="67" t="n"/>
      <c r="G54" s="2">
        <f>+IF(Tableau1[[#This Row],[Fournisseur]]="","",IFERROR(VLOOKUP(Tableau1[[#This Row],[Fournisseur]],SuiviFrs,2,FALSE),"Vérifier la syntaxe : Fournisseur introuvable au niveau du suivi des conventions"))</f>
        <v/>
      </c>
      <c r="H54" s="7">
        <f>++IF(Tableau1[[#This Row],[Fournisseur]]="","",C54+G54-1)</f>
        <v/>
      </c>
      <c r="I54" s="8">
        <f>++IF(Tableau1[[#This Row],[Fournisseur]]="","",IF(H54-Tableau1[[#This Row],[Date Paiement Effectif]]&gt;0," ",H54-Tableau1[[#This Row],[Date Paiement Effectif]]))</f>
        <v/>
      </c>
      <c r="J54" s="9">
        <f>++IF(Tableau1[[#This Row],[Fournisseur]]="","",IF(Tableau1[[#This Row],[Date Paiement Effectif]]="","Non encore payée",IF(I54&lt;0,"Attention, paiement hors délais","OK RAS")))</f>
        <v/>
      </c>
      <c r="K54" s="54" t="n"/>
      <c r="L54" s="54" t="n"/>
      <c r="M54" s="31" t="n"/>
    </row>
    <row r="55" ht="14.25" customHeight="1">
      <c r="B55" s="55" t="n"/>
      <c r="C55" s="25" t="n"/>
      <c r="D55" s="25" t="n"/>
      <c r="E55" s="46" t="n"/>
      <c r="F55" s="67" t="n"/>
      <c r="G55" s="2">
        <f>+IF(Tableau1[[#This Row],[Fournisseur]]="","",IFERROR(VLOOKUP(Tableau1[[#This Row],[Fournisseur]],SuiviFrs,2,FALSE),"Vérifier la syntaxe : Fournisseur introuvable au niveau du suivi des conventions"))</f>
        <v/>
      </c>
      <c r="H55" s="7">
        <f>++IF(Tableau1[[#This Row],[Fournisseur]]="","",C55+G55-1)</f>
        <v/>
      </c>
      <c r="I55" s="8">
        <f>++IF(Tableau1[[#This Row],[Fournisseur]]="","",IF(H55-Tableau1[[#This Row],[Date Paiement Effectif]]&gt;0," ",H55-Tableau1[[#This Row],[Date Paiement Effectif]]))</f>
        <v/>
      </c>
      <c r="J55" s="9">
        <f>++IF(Tableau1[[#This Row],[Fournisseur]]="","",IF(Tableau1[[#This Row],[Date Paiement Effectif]]="","Non encore payée",IF(I55&lt;0,"Attention, paiement hors délais","OK RAS")))</f>
        <v/>
      </c>
      <c r="K55" s="54" t="n"/>
      <c r="L55" s="54" t="n"/>
      <c r="M55" s="31" t="n"/>
    </row>
    <row r="56" ht="14.25" customHeight="1">
      <c r="B56" s="55" t="n"/>
      <c r="C56" s="25" t="n"/>
      <c r="D56" s="25" t="n"/>
      <c r="E56" s="46" t="n"/>
      <c r="F56" s="67" t="n"/>
      <c r="G56" s="2">
        <f>+IF(Tableau1[[#This Row],[Fournisseur]]="","",IFERROR(VLOOKUP(Tableau1[[#This Row],[Fournisseur]],SuiviFrs,2,FALSE),"Vérifier la syntaxe : Fournisseur introuvable au niveau du suivi des conventions"))</f>
        <v/>
      </c>
      <c r="H56" s="7">
        <f>++IF(Tableau1[[#This Row],[Fournisseur]]="","",C56+G56-1)</f>
        <v/>
      </c>
      <c r="I56" s="8">
        <f>++IF(Tableau1[[#This Row],[Fournisseur]]="","",IF(H56-Tableau1[[#This Row],[Date Paiement Effectif]]&gt;0," ",H56-Tableau1[[#This Row],[Date Paiement Effectif]]))</f>
        <v/>
      </c>
      <c r="J56" s="9">
        <f>++IF(Tableau1[[#This Row],[Fournisseur]]="","",IF(Tableau1[[#This Row],[Date Paiement Effectif]]="","Non encore payée",IF(I56&lt;0,"Attention, paiement hors délais","OK RAS")))</f>
        <v/>
      </c>
      <c r="K56" s="54" t="n"/>
      <c r="L56" s="54" t="n"/>
      <c r="M56" s="31" t="n"/>
    </row>
    <row r="57" ht="14.25" customHeight="1">
      <c r="B57" s="55" t="n"/>
      <c r="C57" s="25" t="n"/>
      <c r="D57" s="25" t="n"/>
      <c r="E57" s="46" t="n"/>
      <c r="F57" s="67" t="n"/>
      <c r="G57" s="2">
        <f>+IF(Tableau1[[#This Row],[Fournisseur]]="","",IFERROR(VLOOKUP(Tableau1[[#This Row],[Fournisseur]],SuiviFrs,2,FALSE),"Vérifier la syntaxe : Fournisseur introuvable au niveau du suivi des conventions"))</f>
        <v/>
      </c>
      <c r="H57" s="7">
        <f>++IF(Tableau1[[#This Row],[Fournisseur]]="","",C57+G57-1)</f>
        <v/>
      </c>
      <c r="I57" s="8">
        <f>++IF(Tableau1[[#This Row],[Fournisseur]]="","",IF(H57-Tableau1[[#This Row],[Date Paiement Effectif]]&gt;0," ",H57-Tableau1[[#This Row],[Date Paiement Effectif]]))</f>
        <v/>
      </c>
      <c r="J57" s="9">
        <f>++IF(Tableau1[[#This Row],[Fournisseur]]="","",IF(Tableau1[[#This Row],[Date Paiement Effectif]]="","Non encore payée",IF(I57&lt;0,"Attention, paiement hors délais","OK RAS")))</f>
        <v/>
      </c>
      <c r="K57" s="54" t="n"/>
      <c r="L57" s="54" t="n"/>
      <c r="M57" s="31" t="n"/>
    </row>
    <row r="58" ht="14.25" customHeight="1">
      <c r="B58" s="55" t="n"/>
      <c r="C58" s="25" t="n"/>
      <c r="D58" s="25" t="n"/>
      <c r="E58" s="46" t="n"/>
      <c r="F58" s="67" t="n"/>
      <c r="G58" s="2">
        <f>+IF(Tableau1[[#This Row],[Fournisseur]]="","",IFERROR(VLOOKUP(Tableau1[[#This Row],[Fournisseur]],SuiviFrs,2,FALSE),"Vérifier la syntaxe : Fournisseur introuvable au niveau du suivi des conventions"))</f>
        <v/>
      </c>
      <c r="H58" s="7">
        <f>++IF(Tableau1[[#This Row],[Fournisseur]]="","",C58+G58-1)</f>
        <v/>
      </c>
      <c r="I58" s="8">
        <f>++IF(Tableau1[[#This Row],[Fournisseur]]="","",IF(H58-Tableau1[[#This Row],[Date Paiement Effectif]]&gt;0," ",H58-Tableau1[[#This Row],[Date Paiement Effectif]]))</f>
        <v/>
      </c>
      <c r="J58" s="9">
        <f>++IF(Tableau1[[#This Row],[Fournisseur]]="","",IF(Tableau1[[#This Row],[Date Paiement Effectif]]="","Non encore payée",IF(I58&lt;0,"Attention, paiement hors délais","OK RAS")))</f>
        <v/>
      </c>
      <c r="K58" s="54" t="n"/>
      <c r="L58" s="54" t="n"/>
      <c r="M58" s="31" t="n"/>
    </row>
    <row r="59" ht="14.25" customHeight="1">
      <c r="B59" s="55" t="n"/>
      <c r="C59" s="25" t="n"/>
      <c r="D59" s="25" t="n"/>
      <c r="E59" s="46" t="n"/>
      <c r="F59" s="67" t="n"/>
      <c r="G59" s="2">
        <f>+IF(Tableau1[[#This Row],[Fournisseur]]="","",IFERROR(VLOOKUP(Tableau1[[#This Row],[Fournisseur]],SuiviFrs,2,FALSE),"Vérifier la syntaxe : Fournisseur introuvable au niveau du suivi des conventions"))</f>
        <v/>
      </c>
      <c r="H59" s="7">
        <f>++IF(Tableau1[[#This Row],[Fournisseur]]="","",C59+G59-1)</f>
        <v/>
      </c>
      <c r="I59" s="8">
        <f>++IF(Tableau1[[#This Row],[Fournisseur]]="","",IF(H59-Tableau1[[#This Row],[Date Paiement Effectif]]&gt;0," ",H59-Tableau1[[#This Row],[Date Paiement Effectif]]))</f>
        <v/>
      </c>
      <c r="J59" s="9">
        <f>++IF(Tableau1[[#This Row],[Fournisseur]]="","",IF(Tableau1[[#This Row],[Date Paiement Effectif]]="","Non encore payée",IF(I59&lt;0,"Attention, paiement hors délais","OK RAS")))</f>
        <v/>
      </c>
      <c r="K59" s="54" t="n"/>
      <c r="L59" s="54" t="n"/>
      <c r="M59" s="31" t="n"/>
    </row>
    <row r="60" ht="14.25" customHeight="1">
      <c r="B60" s="55" t="n"/>
      <c r="C60" s="25" t="n"/>
      <c r="D60" s="25" t="n"/>
      <c r="E60" s="46" t="n"/>
      <c r="F60" s="67" t="n"/>
      <c r="G60" s="2">
        <f>+IF(Tableau1[[#This Row],[Fournisseur]]="","",IFERROR(VLOOKUP(Tableau1[[#This Row],[Fournisseur]],SuiviFrs,2,FALSE),"Vérifier la syntaxe : Fournisseur introuvable au niveau du suivi des conventions"))</f>
        <v/>
      </c>
      <c r="H60" s="7">
        <f>++IF(Tableau1[[#This Row],[Fournisseur]]="","",C60+G60-1)</f>
        <v/>
      </c>
      <c r="I60" s="8">
        <f>++IF(Tableau1[[#This Row],[Fournisseur]]="","",IF(H60-Tableau1[[#This Row],[Date Paiement Effectif]]&gt;0," ",H60-Tableau1[[#This Row],[Date Paiement Effectif]]))</f>
        <v/>
      </c>
      <c r="J60" s="9">
        <f>++IF(Tableau1[[#This Row],[Fournisseur]]="","",IF(Tableau1[[#This Row],[Date Paiement Effectif]]="","Non encore payée",IF(I60&lt;0,"Attention, paiement hors délais","OK RAS")))</f>
        <v/>
      </c>
      <c r="K60" s="54" t="n"/>
      <c r="L60" s="54" t="n"/>
      <c r="M60" s="31" t="n"/>
    </row>
    <row r="61" ht="14.25" customHeight="1">
      <c r="B61" s="55" t="n"/>
      <c r="C61" s="25" t="n"/>
      <c r="D61" s="25" t="n"/>
      <c r="E61" s="46" t="n"/>
      <c r="F61" s="67" t="n"/>
      <c r="G61" s="2">
        <f>+IF(Tableau1[[#This Row],[Fournisseur]]="","",IFERROR(VLOOKUP(Tableau1[[#This Row],[Fournisseur]],SuiviFrs,2,FALSE),"Vérifier la syntaxe : Fournisseur introuvable au niveau du suivi des conventions"))</f>
        <v/>
      </c>
      <c r="H61" s="7">
        <f>++IF(Tableau1[[#This Row],[Fournisseur]]="","",C61+G61-1)</f>
        <v/>
      </c>
      <c r="I61" s="8">
        <f>++IF(Tableau1[[#This Row],[Fournisseur]]="","",IF(H61-Tableau1[[#This Row],[Date Paiement Effectif]]&gt;0," ",H61-Tableau1[[#This Row],[Date Paiement Effectif]]))</f>
        <v/>
      </c>
      <c r="J61" s="9">
        <f>++IF(Tableau1[[#This Row],[Fournisseur]]="","",IF(Tableau1[[#This Row],[Date Paiement Effectif]]="","Non encore payée",IF(I61&lt;0,"Attention, paiement hors délais","OK RAS")))</f>
        <v/>
      </c>
      <c r="K61" s="54" t="n"/>
      <c r="L61" s="54" t="n"/>
      <c r="M61" s="31" t="n"/>
    </row>
    <row r="62" ht="14.25" customHeight="1">
      <c r="B62" s="55" t="n"/>
      <c r="C62" s="25" t="n"/>
      <c r="D62" s="25" t="n"/>
      <c r="E62" s="46" t="n"/>
      <c r="F62" s="67" t="n"/>
      <c r="G62" s="2">
        <f>+IF(Tableau1[[#This Row],[Fournisseur]]="","",IFERROR(VLOOKUP(Tableau1[[#This Row],[Fournisseur]],SuiviFrs,2,FALSE),"Vérifier la syntaxe : Fournisseur introuvable au niveau du suivi des conventions"))</f>
        <v/>
      </c>
      <c r="H62" s="7">
        <f>++IF(Tableau1[[#This Row],[Fournisseur]]="","",C62+G62-1)</f>
        <v/>
      </c>
      <c r="I62" s="8">
        <f>++IF(Tableau1[[#This Row],[Fournisseur]]="","",IF(H62-Tableau1[[#This Row],[Date Paiement Effectif]]&gt;0," ",H62-Tableau1[[#This Row],[Date Paiement Effectif]]))</f>
        <v/>
      </c>
      <c r="J62" s="9">
        <f>++IF(Tableau1[[#This Row],[Fournisseur]]="","",IF(Tableau1[[#This Row],[Date Paiement Effectif]]="","Non encore payée",IF(I62&lt;0,"Attention, paiement hors délais","OK RAS")))</f>
        <v/>
      </c>
      <c r="K62" s="54" t="n"/>
      <c r="L62" s="54" t="n"/>
      <c r="M62" s="31" t="n"/>
    </row>
    <row r="63" ht="14.25" customHeight="1">
      <c r="B63" s="55" t="n"/>
      <c r="C63" s="25" t="n"/>
      <c r="D63" s="25" t="n"/>
      <c r="E63" s="46" t="n"/>
      <c r="F63" s="67" t="n"/>
      <c r="G63" s="2">
        <f>+IF(Tableau1[[#This Row],[Fournisseur]]="","",IFERROR(VLOOKUP(Tableau1[[#This Row],[Fournisseur]],SuiviFrs,2,FALSE),"Vérifier la syntaxe : Fournisseur introuvable au niveau du suivi des conventions"))</f>
        <v/>
      </c>
      <c r="H63" s="7">
        <f>++IF(Tableau1[[#This Row],[Fournisseur]]="","",C63+G63-1)</f>
        <v/>
      </c>
      <c r="I63" s="8">
        <f>++IF(Tableau1[[#This Row],[Fournisseur]]="","",IF(H63-Tableau1[[#This Row],[Date Paiement Effectif]]&gt;0," ",H63-Tableau1[[#This Row],[Date Paiement Effectif]]))</f>
        <v/>
      </c>
      <c r="J63" s="9">
        <f>++IF(Tableau1[[#This Row],[Fournisseur]]="","",IF(Tableau1[[#This Row],[Date Paiement Effectif]]="","Non encore payée",IF(I63&lt;0,"Attention, paiement hors délais","OK RAS")))</f>
        <v/>
      </c>
      <c r="K63" s="54" t="n"/>
      <c r="L63" s="54" t="n"/>
      <c r="M63" s="31" t="n"/>
    </row>
    <row r="64" ht="14.25" customHeight="1">
      <c r="B64" s="55" t="n"/>
      <c r="C64" s="25" t="n"/>
      <c r="D64" s="25" t="n"/>
      <c r="E64" s="46" t="n"/>
      <c r="F64" s="67" t="n"/>
      <c r="G64" s="2">
        <f>+IF(Tableau1[[#This Row],[Fournisseur]]="","",IFERROR(VLOOKUP(Tableau1[[#This Row],[Fournisseur]],SuiviFrs,2,FALSE),"Vérifier la syntaxe : Fournisseur introuvable au niveau du suivi des conventions"))</f>
        <v/>
      </c>
      <c r="H64" s="7">
        <f>++IF(Tableau1[[#This Row],[Fournisseur]]="","",C64+G64-1)</f>
        <v/>
      </c>
      <c r="I64" s="8">
        <f>++IF(Tableau1[[#This Row],[Fournisseur]]="","",IF(H64-Tableau1[[#This Row],[Date Paiement Effectif]]&gt;0," ",H64-Tableau1[[#This Row],[Date Paiement Effectif]]))</f>
        <v/>
      </c>
      <c r="J64" s="9">
        <f>++IF(Tableau1[[#This Row],[Fournisseur]]="","",IF(Tableau1[[#This Row],[Date Paiement Effectif]]="","Non encore payée",IF(I64&lt;0,"Attention, paiement hors délais","OK RAS")))</f>
        <v/>
      </c>
      <c r="K64" s="54" t="n"/>
      <c r="L64" s="54" t="n"/>
      <c r="M64" s="31" t="n"/>
    </row>
    <row r="65" ht="14.25" customHeight="1">
      <c r="B65" s="55" t="n"/>
      <c r="C65" s="25" t="n"/>
      <c r="D65" s="25" t="n"/>
      <c r="E65" s="46" t="n"/>
      <c r="F65" s="67" t="n"/>
      <c r="G65" s="2">
        <f>+IF(Tableau1[[#This Row],[Fournisseur]]="","",IFERROR(VLOOKUP(Tableau1[[#This Row],[Fournisseur]],SuiviFrs,2,FALSE),"Vérifier la syntaxe : Fournisseur introuvable au niveau du suivi des conventions"))</f>
        <v/>
      </c>
      <c r="H65" s="7">
        <f>++IF(Tableau1[[#This Row],[Fournisseur]]="","",C65+G65-1)</f>
        <v/>
      </c>
      <c r="I65" s="8">
        <f>++IF(Tableau1[[#This Row],[Fournisseur]]="","",IF(H65-Tableau1[[#This Row],[Date Paiement Effectif]]&gt;0," ",H65-Tableau1[[#This Row],[Date Paiement Effectif]]))</f>
        <v/>
      </c>
      <c r="J65" s="9">
        <f>++IF(Tableau1[[#This Row],[Fournisseur]]="","",IF(Tableau1[[#This Row],[Date Paiement Effectif]]="","Non encore payée",IF(I65&lt;0,"Attention, paiement hors délais","OK RAS")))</f>
        <v/>
      </c>
      <c r="K65" s="54" t="n"/>
      <c r="L65" s="54" t="n"/>
      <c r="M65" s="31" t="n"/>
    </row>
    <row r="66" ht="14.25" customHeight="1">
      <c r="B66" s="55" t="n"/>
      <c r="C66" s="25" t="n"/>
      <c r="D66" s="25" t="n"/>
      <c r="E66" s="46" t="n"/>
      <c r="F66" s="67" t="n"/>
      <c r="G66" s="2">
        <f>+IF(Tableau1[[#This Row],[Fournisseur]]="","",IFERROR(VLOOKUP(Tableau1[[#This Row],[Fournisseur]],SuiviFrs,2,FALSE),"Vérifier la syntaxe : Fournisseur introuvable au niveau du suivi des conventions"))</f>
        <v/>
      </c>
      <c r="H66" s="7">
        <f>++IF(Tableau1[[#This Row],[Fournisseur]]="","",C66+G66-1)</f>
        <v/>
      </c>
      <c r="I66" s="8">
        <f>++IF(Tableau1[[#This Row],[Fournisseur]]="","",IF(H66-Tableau1[[#This Row],[Date Paiement Effectif]]&gt;0," ",H66-Tableau1[[#This Row],[Date Paiement Effectif]]))</f>
        <v/>
      </c>
      <c r="J66" s="9">
        <f>++IF(Tableau1[[#This Row],[Fournisseur]]="","",IF(Tableau1[[#This Row],[Date Paiement Effectif]]="","Non encore payée",IF(I66&lt;0,"Attention, paiement hors délais","OK RAS")))</f>
        <v/>
      </c>
      <c r="K66" s="54" t="n"/>
      <c r="L66" s="54" t="n"/>
      <c r="M66" s="31" t="n"/>
    </row>
    <row r="67" ht="14.25" customHeight="1">
      <c r="B67" s="55" t="n"/>
      <c r="C67" s="25" t="n"/>
      <c r="D67" s="25" t="n"/>
      <c r="E67" s="46" t="n"/>
      <c r="F67" s="67" t="n"/>
      <c r="G67" s="2">
        <f>+IF(Tableau1[[#This Row],[Fournisseur]]="","",IFERROR(VLOOKUP(Tableau1[[#This Row],[Fournisseur]],SuiviFrs,2,FALSE),"Vérifier la syntaxe : Fournisseur introuvable au niveau du suivi des conventions"))</f>
        <v/>
      </c>
      <c r="H67" s="7">
        <f>++IF(Tableau1[[#This Row],[Fournisseur]]="","",C67+G67-1)</f>
        <v/>
      </c>
      <c r="I67" s="8">
        <f>++IF(Tableau1[[#This Row],[Fournisseur]]="","",IF(H67-Tableau1[[#This Row],[Date Paiement Effectif]]&gt;0," ",H67-Tableau1[[#This Row],[Date Paiement Effectif]]))</f>
        <v/>
      </c>
      <c r="J67" s="9">
        <f>++IF(Tableau1[[#This Row],[Fournisseur]]="","",IF(Tableau1[[#This Row],[Date Paiement Effectif]]="","Non encore payée",IF(I67&lt;0,"Attention, paiement hors délais","OK RAS")))</f>
        <v/>
      </c>
      <c r="K67" s="54" t="n"/>
      <c r="L67" s="54" t="n"/>
      <c r="M67" s="31" t="n"/>
    </row>
    <row r="68" ht="14.25" customHeight="1">
      <c r="B68" s="55" t="n"/>
      <c r="C68" s="25" t="n"/>
      <c r="D68" s="25" t="n"/>
      <c r="E68" s="46" t="n"/>
      <c r="F68" s="67" t="n"/>
      <c r="G68" s="2">
        <f>+IF(Tableau1[[#This Row],[Fournisseur]]="","",IFERROR(VLOOKUP(Tableau1[[#This Row],[Fournisseur]],SuiviFrs,2,FALSE),"Vérifier la syntaxe : Fournisseur introuvable au niveau du suivi des conventions"))</f>
        <v/>
      </c>
      <c r="H68" s="7">
        <f>++IF(Tableau1[[#This Row],[Fournisseur]]="","",C68+G68-1)</f>
        <v/>
      </c>
      <c r="I68" s="8">
        <f>++IF(Tableau1[[#This Row],[Fournisseur]]="","",IF(H68-Tableau1[[#This Row],[Date Paiement Effectif]]&gt;0," ",H68-Tableau1[[#This Row],[Date Paiement Effectif]]))</f>
        <v/>
      </c>
      <c r="J68" s="9">
        <f>++IF(Tableau1[[#This Row],[Fournisseur]]="","",IF(Tableau1[[#This Row],[Date Paiement Effectif]]="","Non encore payée",IF(I68&lt;0,"Attention, paiement hors délais","OK RAS")))</f>
        <v/>
      </c>
      <c r="K68" s="31" t="n"/>
      <c r="L68" s="31" t="n"/>
      <c r="M68" s="31" t="n"/>
    </row>
    <row r="69" ht="14.25" customHeight="1">
      <c r="B69" s="55" t="n"/>
      <c r="C69" s="25" t="n"/>
      <c r="D69" s="25" t="n"/>
      <c r="E69" s="46" t="n"/>
      <c r="F69" s="67" t="n"/>
      <c r="G69" s="2">
        <f>+IF(Tableau1[[#This Row],[Fournisseur]]="","",IFERROR(VLOOKUP(Tableau1[[#This Row],[Fournisseur]],SuiviFrs,2,FALSE),"Vérifier la syntaxe : Fournisseur introuvable au niveau du suivi des conventions"))</f>
        <v/>
      </c>
      <c r="H69" s="7">
        <f>++IF(Tableau1[[#This Row],[Fournisseur]]="","",C69+G69-1)</f>
        <v/>
      </c>
      <c r="I69" s="8">
        <f>++IF(Tableau1[[#This Row],[Fournisseur]]="","",IF(H69-Tableau1[[#This Row],[Date Paiement Effectif]]&gt;0," ",H69-Tableau1[[#This Row],[Date Paiement Effectif]]))</f>
        <v/>
      </c>
      <c r="J69" s="9">
        <f>++IF(Tableau1[[#This Row],[Fournisseur]]="","",IF(Tableau1[[#This Row],[Date Paiement Effectif]]="","Non encore payée",IF(I69&lt;0,"Attention, paiement hors délais","OK RAS")))</f>
        <v/>
      </c>
      <c r="K69" s="31" t="n"/>
      <c r="L69" s="31" t="n"/>
      <c r="M69" s="31" t="n"/>
    </row>
    <row r="70" ht="14.25" customHeight="1">
      <c r="B70" s="55" t="n"/>
      <c r="C70" s="25" t="n"/>
      <c r="D70" s="25" t="n"/>
      <c r="E70" s="46" t="n"/>
      <c r="F70" s="67" t="n"/>
      <c r="G70" s="2">
        <f>+IF(Tableau1[[#This Row],[Fournisseur]]="","",IFERROR(VLOOKUP(Tableau1[[#This Row],[Fournisseur]],SuiviFrs,2,FALSE),"Vérifier la syntaxe : Fournisseur introuvable au niveau du suivi des conventions"))</f>
        <v/>
      </c>
      <c r="H70" s="7">
        <f>++IF(Tableau1[[#This Row],[Fournisseur]]="","",C70+G70-1)</f>
        <v/>
      </c>
      <c r="I70" s="8">
        <f>++IF(Tableau1[[#This Row],[Fournisseur]]="","",IF(H70-Tableau1[[#This Row],[Date Paiement Effectif]]&gt;0," ",H70-Tableau1[[#This Row],[Date Paiement Effectif]]))</f>
        <v/>
      </c>
      <c r="J70" s="9">
        <f>++IF(Tableau1[[#This Row],[Fournisseur]]="","",IF(Tableau1[[#This Row],[Date Paiement Effectif]]="","Non encore payée",IF(I70&lt;0,"Attention, paiement hors délais","OK RAS")))</f>
        <v/>
      </c>
      <c r="K70" s="54" t="n">
        <v>46090</v>
      </c>
      <c r="L70" s="54" t="n"/>
      <c r="M70" s="31" t="n"/>
    </row>
    <row r="71" ht="14.25" customHeight="1">
      <c r="B71" s="55" t="n"/>
      <c r="C71" s="25" t="n"/>
      <c r="D71" s="25" t="n"/>
      <c r="E71" s="46" t="n"/>
      <c r="F71" s="67" t="n"/>
      <c r="G71" s="2">
        <f>+IF(Tableau1[[#This Row],[Fournisseur]]="","",IFERROR(VLOOKUP(Tableau1[[#This Row],[Fournisseur]],SuiviFrs,2,FALSE),"Vérifier la syntaxe : Fournisseur introuvable au niveau du suivi des conventions"))</f>
        <v/>
      </c>
      <c r="H71" s="7">
        <f>++IF(Tableau1[[#This Row],[Fournisseur]]="","",C71+G71-1)</f>
        <v/>
      </c>
      <c r="I71" s="8">
        <f>++IF(Tableau1[[#This Row],[Fournisseur]]="","",IF(H71-Tableau1[[#This Row],[Date Paiement Effectif]]&gt;0," ",H71-Tableau1[[#This Row],[Date Paiement Effectif]]))</f>
        <v/>
      </c>
      <c r="J71" s="9">
        <f>++IF(Tableau1[[#This Row],[Fournisseur]]="","",IF(Tableau1[[#This Row],[Date Paiement Effectif]]="","Non encore payée",IF(I71&lt;0,"Attention, paiement hors délais","OK RAS")))</f>
        <v/>
      </c>
      <c r="K71" s="31" t="n"/>
      <c r="L71" s="31" t="n"/>
      <c r="M71" s="31" t="n"/>
    </row>
    <row r="72" ht="14.25" customHeight="1">
      <c r="B72" s="59" t="n"/>
      <c r="C72" s="25" t="n"/>
      <c r="D72" s="25" t="n"/>
      <c r="E72" s="46" t="n"/>
      <c r="F72" s="67" t="n"/>
      <c r="G72" s="2">
        <f>+IF(Tableau1[[#This Row],[Fournisseur]]="","",IFERROR(VLOOKUP(Tableau1[[#This Row],[Fournisseur]],SuiviFrs,2,FALSE),"Vérifier la syntaxe : Fournisseur introuvable au niveau du suivi des conventions"))</f>
        <v/>
      </c>
      <c r="H72" s="7">
        <f>++IF(Tableau1[[#This Row],[Fournisseur]]="","",C72+G72-1)</f>
        <v/>
      </c>
      <c r="I72" s="8">
        <f>++IF(Tableau1[[#This Row],[Fournisseur]]="","",IF(H72-Tableau1[[#This Row],[Date Paiement Effectif]]&gt;0," ",H72-Tableau1[[#This Row],[Date Paiement Effectif]]))</f>
        <v/>
      </c>
      <c r="J72" s="9">
        <f>++IF(Tableau1[[#This Row],[Fournisseur]]="","",IF(Tableau1[[#This Row],[Date Paiement Effectif]]="","Non encore payée",IF(I72&lt;0,"Attention, paiement hors délais","OK RAS")))</f>
        <v/>
      </c>
      <c r="K72" s="54" t="n">
        <v>46056</v>
      </c>
      <c r="L72" s="54" t="n"/>
      <c r="M72" s="31" t="n"/>
    </row>
    <row r="73" ht="14.25" customHeight="1">
      <c r="B73" s="59" t="n"/>
      <c r="C73" s="25" t="n"/>
      <c r="D73" s="25" t="n"/>
      <c r="E73" s="46" t="n"/>
      <c r="F73" s="67" t="n"/>
      <c r="G73" s="2">
        <f>+IF(Tableau1[[#This Row],[Fournisseur]]="","",IFERROR(VLOOKUP(Tableau1[[#This Row],[Fournisseur]],SuiviFrs,2,FALSE),"Vérifier la syntaxe : Fournisseur introuvable au niveau du suivi des conventions"))</f>
        <v/>
      </c>
      <c r="H73" s="7">
        <f>++IF(Tableau1[[#This Row],[Fournisseur]]="","",C73+G73-1)</f>
        <v/>
      </c>
      <c r="I73" s="8">
        <f>++IF(Tableau1[[#This Row],[Fournisseur]]="","",IF(H73-Tableau1[[#This Row],[Date Paiement Effectif]]&gt;0," ",H73-Tableau1[[#This Row],[Date Paiement Effectif]]))</f>
        <v/>
      </c>
      <c r="J73" s="9">
        <f>++IF(Tableau1[[#This Row],[Fournisseur]]="","",IF(Tableau1[[#This Row],[Date Paiement Effectif]]="","Non encore payée",IF(I73&lt;0,"Attention, paiement hors délais","OK RAS")))</f>
        <v/>
      </c>
      <c r="K73" s="54" t="n">
        <v>46079</v>
      </c>
      <c r="L73" s="54" t="n"/>
      <c r="M73" s="31" t="n"/>
    </row>
    <row r="74" ht="14.25" customHeight="1">
      <c r="B74" s="59" t="n"/>
      <c r="C74" s="25" t="n"/>
      <c r="D74" s="25" t="n"/>
      <c r="E74" s="46" t="n"/>
      <c r="F74" s="67" t="n"/>
      <c r="G74" s="2">
        <f>+IF(Tableau1[[#This Row],[Fournisseur]]="","",IFERROR(VLOOKUP(Tableau1[[#This Row],[Fournisseur]],SuiviFrs,2,FALSE),"Vérifier la syntaxe : Fournisseur introuvable au niveau du suivi des conventions"))</f>
        <v/>
      </c>
      <c r="H74" s="7">
        <f>++IF(Tableau1[[#This Row],[Fournisseur]]="","",C74+G74-1)</f>
        <v/>
      </c>
      <c r="I74" s="8">
        <f>++IF(Tableau1[[#This Row],[Fournisseur]]="","",IF(H74-Tableau1[[#This Row],[Date Paiement Effectif]]&gt;0," ",H74-Tableau1[[#This Row],[Date Paiement Effectif]]))</f>
        <v/>
      </c>
      <c r="J74" s="9">
        <f>++IF(Tableau1[[#This Row],[Fournisseur]]="","",IF(Tableau1[[#This Row],[Date Paiement Effectif]]="","Non encore payée",IF(I74&lt;0,"Attention, paiement hors délais","OK RAS")))</f>
        <v/>
      </c>
      <c r="K74" s="54" t="n">
        <v>46118</v>
      </c>
      <c r="L74" s="54" t="n"/>
      <c r="M74" s="31" t="n"/>
    </row>
    <row r="75" ht="14.25" customHeight="1">
      <c r="B75" s="55" t="n"/>
      <c r="C75" s="25" t="n"/>
      <c r="D75" s="25" t="n"/>
      <c r="E75" s="46" t="n"/>
      <c r="F75" s="67" t="n"/>
      <c r="G75" s="2">
        <f>+IF(Tableau1[[#This Row],[Fournisseur]]="","",IFERROR(VLOOKUP(Tableau1[[#This Row],[Fournisseur]],SuiviFrs,2,FALSE),"Vérifier la syntaxe : Fournisseur introuvable au niveau du suivi des conventions"))</f>
        <v/>
      </c>
      <c r="H75" s="7">
        <f>++IF(Tableau1[[#This Row],[Fournisseur]]="","",C75+G75-1)</f>
        <v/>
      </c>
      <c r="I75" s="8">
        <f>++IF(Tableau1[[#This Row],[Fournisseur]]="","",IF(H75-Tableau1[[#This Row],[Date Paiement Effectif]]&gt;0," ",H75-Tableau1[[#This Row],[Date Paiement Effectif]]))</f>
        <v/>
      </c>
      <c r="J75" s="9">
        <f>++IF(Tableau1[[#This Row],[Fournisseur]]="","",IF(Tableau1[[#This Row],[Date Paiement Effectif]]="","Non encore payée",IF(I75&lt;0,"Attention, paiement hors délais","OK RAS")))</f>
        <v/>
      </c>
      <c r="K75" s="54" t="n">
        <v>46057</v>
      </c>
      <c r="L75" s="54" t="n"/>
      <c r="M75" s="31" t="n"/>
    </row>
    <row r="76" ht="14.25" customHeight="1">
      <c r="B76" s="55" t="n"/>
      <c r="C76" s="25" t="n"/>
      <c r="D76" s="25" t="n"/>
      <c r="E76" s="46" t="n"/>
      <c r="F76" s="67" t="n"/>
      <c r="G76" s="2">
        <f>+IF(Tableau1[[#This Row],[Fournisseur]]="","",IFERROR(VLOOKUP(Tableau1[[#This Row],[Fournisseur]],SuiviFrs,2,FALSE),"Vérifier la syntaxe : Fournisseur introuvable au niveau du suivi des conventions"))</f>
        <v/>
      </c>
      <c r="H76" s="7">
        <f>++IF(Tableau1[[#This Row],[Fournisseur]]="","",C76+G76-1)</f>
        <v/>
      </c>
      <c r="I76" s="8">
        <f>++IF(Tableau1[[#This Row],[Fournisseur]]="","",IF(H76-Tableau1[[#This Row],[Date Paiement Effectif]]&gt;0," ",H76-Tableau1[[#This Row],[Date Paiement Effectif]]))</f>
        <v/>
      </c>
      <c r="J76" s="9">
        <f>++IF(Tableau1[[#This Row],[Fournisseur]]="","",IF(Tableau1[[#This Row],[Date Paiement Effectif]]="","Non encore payée",IF(I76&lt;0,"Attention, paiement hors délais","OK RAS")))</f>
        <v/>
      </c>
      <c r="K76" s="54" t="n">
        <v>46143</v>
      </c>
      <c r="L76" s="54" t="n"/>
      <c r="M76" s="31" t="n"/>
    </row>
    <row r="77" ht="14.25" customHeight="1">
      <c r="B77" s="55" t="n"/>
      <c r="C77" s="25" t="n"/>
      <c r="D77" s="25" t="n"/>
      <c r="E77" s="46" t="n"/>
      <c r="F77" s="67" t="n"/>
      <c r="G77" s="2">
        <f>+IF(Tableau1[[#This Row],[Fournisseur]]="","",IFERROR(VLOOKUP(Tableau1[[#This Row],[Fournisseur]],SuiviFrs,2,FALSE),"Vérifier la syntaxe : Fournisseur introuvable au niveau du suivi des conventions"))</f>
        <v/>
      </c>
      <c r="H77" s="7">
        <f>++IF(Tableau1[[#This Row],[Fournisseur]]="","",C77+G77-1)</f>
        <v/>
      </c>
      <c r="I77" s="8">
        <f>++IF(Tableau1[[#This Row],[Fournisseur]]="","",IF(H77-Tableau1[[#This Row],[Date Paiement Effectif]]&gt;0," ",H77-Tableau1[[#This Row],[Date Paiement Effectif]]))</f>
        <v/>
      </c>
      <c r="J77" s="9">
        <f>++IF(Tableau1[[#This Row],[Fournisseur]]="","",IF(Tableau1[[#This Row],[Date Paiement Effectif]]="","Non encore payée",IF(I77&lt;0,"Attention, paiement hors délais","OK RAS")))</f>
        <v/>
      </c>
      <c r="K77" s="54" t="n">
        <v>46143</v>
      </c>
      <c r="L77" s="54" t="n"/>
      <c r="M77" s="31" t="n"/>
    </row>
    <row r="78" ht="14.25" customHeight="1">
      <c r="B78" s="55" t="n"/>
      <c r="C78" s="25" t="n"/>
      <c r="D78" s="25" t="n"/>
      <c r="E78" s="46" t="n"/>
      <c r="F78" s="67" t="n"/>
      <c r="G78" s="2">
        <f>+IF(Tableau1[[#This Row],[Fournisseur]]="","",IFERROR(VLOOKUP(Tableau1[[#This Row],[Fournisseur]],SuiviFrs,2,FALSE),"Vérifier la syntaxe : Fournisseur introuvable au niveau du suivi des conventions"))</f>
        <v/>
      </c>
      <c r="H78" s="7">
        <f>++IF(Tableau1[[#This Row],[Fournisseur]]="","",C78+G78-1)</f>
        <v/>
      </c>
      <c r="I78" s="8">
        <f>++IF(Tableau1[[#This Row],[Fournisseur]]="","",IF(H78-Tableau1[[#This Row],[Date Paiement Effectif]]&gt;0," ",H78-Tableau1[[#This Row],[Date Paiement Effectif]]))</f>
        <v/>
      </c>
      <c r="J78" s="9">
        <f>++IF(Tableau1[[#This Row],[Fournisseur]]="","",IF(Tableau1[[#This Row],[Date Paiement Effectif]]="","Non encore payée",IF(I78&lt;0,"Attention, paiement hors délais","OK RAS")))</f>
        <v/>
      </c>
      <c r="K78" s="54" t="n">
        <v>46143</v>
      </c>
      <c r="L78" s="54" t="n"/>
      <c r="M78" s="31" t="n"/>
    </row>
    <row r="79" ht="14.25" customHeight="1">
      <c r="B79" s="55" t="n"/>
      <c r="C79" s="25" t="n"/>
      <c r="D79" s="25" t="n"/>
      <c r="E79" s="46" t="n"/>
      <c r="F79" s="67" t="n"/>
      <c r="G79" s="2">
        <f>+IF(Tableau1[[#This Row],[Fournisseur]]="","",IFERROR(VLOOKUP(Tableau1[[#This Row],[Fournisseur]],SuiviFrs,2,FALSE),"Vérifier la syntaxe : Fournisseur introuvable au niveau du suivi des conventions"))</f>
        <v/>
      </c>
      <c r="H79" s="7">
        <f>++IF(Tableau1[[#This Row],[Fournisseur]]="","",C79+G79-1)</f>
        <v/>
      </c>
      <c r="I79" s="8">
        <f>++IF(Tableau1[[#This Row],[Fournisseur]]="","",IF(H79-Tableau1[[#This Row],[Date Paiement Effectif]]&gt;0," ",H79-Tableau1[[#This Row],[Date Paiement Effectif]]))</f>
        <v/>
      </c>
      <c r="J79" s="9">
        <f>++IF(Tableau1[[#This Row],[Fournisseur]]="","",IF(Tableau1[[#This Row],[Date Paiement Effectif]]="","Non encore payée",IF(I79&lt;0,"Attention, paiement hors délais","OK RAS")))</f>
        <v/>
      </c>
      <c r="K79" s="54" t="n">
        <v>46143</v>
      </c>
      <c r="L79" s="54" t="n"/>
      <c r="M79" s="31" t="n"/>
    </row>
    <row r="80" ht="14.25" customHeight="1">
      <c r="B80" s="55" t="n"/>
      <c r="C80" s="25" t="n"/>
      <c r="D80" s="25" t="n"/>
      <c r="E80" s="46" t="n"/>
      <c r="F80" s="67" t="n"/>
      <c r="G80" s="2">
        <f>+IF(Tableau1[[#This Row],[Fournisseur]]="","",IFERROR(VLOOKUP(Tableau1[[#This Row],[Fournisseur]],SuiviFrs,2,FALSE),"Vérifier la syntaxe : Fournisseur introuvable au niveau du suivi des conventions"))</f>
        <v/>
      </c>
      <c r="H80" s="7">
        <f>++IF(Tableau1[[#This Row],[Fournisseur]]="","",C80+G80-1)</f>
        <v/>
      </c>
      <c r="I80" s="8">
        <f>++IF(Tableau1[[#This Row],[Fournisseur]]="","",IF(H80-Tableau1[[#This Row],[Date Paiement Effectif]]&gt;0," ",H80-Tableau1[[#This Row],[Date Paiement Effectif]]))</f>
        <v/>
      </c>
      <c r="J80" s="9">
        <f>++IF(Tableau1[[#This Row],[Fournisseur]]="","",IF(Tableau1[[#This Row],[Date Paiement Effectif]]="","Non encore payée",IF(I80&lt;0,"Attention, paiement hors délais","OK RAS")))</f>
        <v/>
      </c>
      <c r="K80" s="54" t="n">
        <v>46143</v>
      </c>
      <c r="L80" s="54" t="n"/>
      <c r="M80" s="31" t="n"/>
    </row>
    <row r="81" ht="14.25" customHeight="1">
      <c r="B81" s="55" t="n"/>
      <c r="C81" s="25" t="n"/>
      <c r="D81" s="25" t="n"/>
      <c r="E81" s="46" t="n"/>
      <c r="F81" s="67" t="n"/>
      <c r="G81" s="2">
        <f>+IF(Tableau1[[#This Row],[Fournisseur]]="","",IFERROR(VLOOKUP(Tableau1[[#This Row],[Fournisseur]],SuiviFrs,2,FALSE),"Vérifier la syntaxe : Fournisseur introuvable au niveau du suivi des conventions"))</f>
        <v/>
      </c>
      <c r="H81" s="7">
        <f>++IF(Tableau1[[#This Row],[Fournisseur]]="","",C81+G81-1)</f>
        <v/>
      </c>
      <c r="I81" s="8">
        <f>++IF(Tableau1[[#This Row],[Fournisseur]]="","",IF(H81-Tableau1[[#This Row],[Date Paiement Effectif]]&gt;0," ",H81-Tableau1[[#This Row],[Date Paiement Effectif]]))</f>
        <v/>
      </c>
      <c r="J81" s="9">
        <f>++IF(Tableau1[[#This Row],[Fournisseur]]="","",IF(Tableau1[[#This Row],[Date Paiement Effectif]]="","Non encore payée",IF(I81&lt;0,"Attention, paiement hors délais","OK RAS")))</f>
        <v/>
      </c>
      <c r="K81" s="54" t="n">
        <v>46143</v>
      </c>
      <c r="L81" s="54" t="n"/>
      <c r="M81" s="31" t="n"/>
    </row>
    <row r="82" ht="14.25" customHeight="1">
      <c r="B82" s="55" t="n"/>
      <c r="C82" s="25" t="n"/>
      <c r="D82" s="25" t="n"/>
      <c r="E82" s="46" t="n"/>
      <c r="F82" s="67" t="n"/>
      <c r="G82" s="2">
        <f>+IF(Tableau1[[#This Row],[Fournisseur]]="","",IFERROR(VLOOKUP(Tableau1[[#This Row],[Fournisseur]],SuiviFrs,2,FALSE),"Vérifier la syntaxe : Fournisseur introuvable au niveau du suivi des conventions"))</f>
        <v/>
      </c>
      <c r="H82" s="7">
        <f>++IF(Tableau1[[#This Row],[Fournisseur]]="","",C82+G82-1)</f>
        <v/>
      </c>
      <c r="I82" s="8">
        <f>++IF(Tableau1[[#This Row],[Fournisseur]]="","",IF(H82-Tableau1[[#This Row],[Date Paiement Effectif]]&gt;0," ",H82-Tableau1[[#This Row],[Date Paiement Effectif]]))</f>
        <v/>
      </c>
      <c r="J82" s="9">
        <f>++IF(Tableau1[[#This Row],[Fournisseur]]="","",IF(Tableau1[[#This Row],[Date Paiement Effectif]]="","Non encore payée",IF(I82&lt;0,"Attention, paiement hors délais","OK RAS")))</f>
        <v/>
      </c>
      <c r="K82" s="54" t="n">
        <v>46143</v>
      </c>
      <c r="L82" s="54" t="n"/>
      <c r="M82" s="31" t="n"/>
    </row>
    <row r="83" ht="14.25" customHeight="1">
      <c r="B83" s="55" t="n"/>
      <c r="C83" s="25" t="n"/>
      <c r="D83" s="25" t="n"/>
      <c r="E83" s="46" t="n"/>
      <c r="F83" s="67" t="n"/>
      <c r="G83" s="2">
        <f>+IF(Tableau1[[#This Row],[Fournisseur]]="","",IFERROR(VLOOKUP(Tableau1[[#This Row],[Fournisseur]],SuiviFrs,2,FALSE),"Vérifier la syntaxe : Fournisseur introuvable au niveau du suivi des conventions"))</f>
        <v/>
      </c>
      <c r="H83" s="7">
        <f>++IF(Tableau1[[#This Row],[Fournisseur]]="","",C83+G83-1)</f>
        <v/>
      </c>
      <c r="I83" s="8">
        <f>++IF(Tableau1[[#This Row],[Fournisseur]]="","",IF(H83-Tableau1[[#This Row],[Date Paiement Effectif]]&gt;0," ",H83-Tableau1[[#This Row],[Date Paiement Effectif]]))</f>
        <v/>
      </c>
      <c r="J83" s="9">
        <f>++IF(Tableau1[[#This Row],[Fournisseur]]="","",IF(Tableau1[[#This Row],[Date Paiement Effectif]]="","Non encore payée",IF(I83&lt;0,"Attention, paiement hors délais","OK RAS")))</f>
        <v/>
      </c>
      <c r="K83" s="54" t="n">
        <v>46143</v>
      </c>
      <c r="L83" s="54" t="n"/>
      <c r="M83" s="31" t="n"/>
    </row>
    <row r="84" ht="14.25" customHeight="1">
      <c r="B84" s="55" t="n"/>
      <c r="C84" s="25" t="n"/>
      <c r="D84" s="25" t="n"/>
      <c r="E84" s="46" t="n"/>
      <c r="F84" s="67" t="n"/>
      <c r="G84" s="2">
        <f>+IF(Tableau1[[#This Row],[Fournisseur]]="","",IFERROR(VLOOKUP(Tableau1[[#This Row],[Fournisseur]],SuiviFrs,2,FALSE),"Vérifier la syntaxe : Fournisseur introuvable au niveau du suivi des conventions"))</f>
        <v/>
      </c>
      <c r="H84" s="7">
        <f>++IF(Tableau1[[#This Row],[Fournisseur]]="","",C84+G84-1)</f>
        <v/>
      </c>
      <c r="I84" s="8">
        <f>++IF(Tableau1[[#This Row],[Fournisseur]]="","",IF(H84-Tableau1[[#This Row],[Date Paiement Effectif]]&gt;0," ",H84-Tableau1[[#This Row],[Date Paiement Effectif]]))</f>
        <v/>
      </c>
      <c r="J84" s="9">
        <f>++IF(Tableau1[[#This Row],[Fournisseur]]="","",IF(Tableau1[[#This Row],[Date Paiement Effectif]]="","Non encore payée",IF(I84&lt;0,"Attention, paiement hors délais","OK RAS")))</f>
        <v/>
      </c>
      <c r="K84" s="54" t="n">
        <v>46169</v>
      </c>
      <c r="L84" s="54" t="n"/>
      <c r="M84" s="31" t="n"/>
    </row>
    <row r="85" ht="14.25" customHeight="1">
      <c r="B85" s="55" t="n"/>
      <c r="C85" s="25" t="n"/>
      <c r="D85" s="25" t="n"/>
      <c r="E85" s="46" t="n"/>
      <c r="F85" s="67" t="n"/>
      <c r="G85" s="2">
        <f>+IF(Tableau1[[#This Row],[Fournisseur]]="","",IFERROR(VLOOKUP(Tableau1[[#This Row],[Fournisseur]],SuiviFrs,2,FALSE),"Vérifier la syntaxe : Fournisseur introuvable au niveau du suivi des conventions"))</f>
        <v/>
      </c>
      <c r="H85" s="7">
        <f>++IF(Tableau1[[#This Row],[Fournisseur]]="","",C85+G85-1)</f>
        <v/>
      </c>
      <c r="I85" s="8">
        <f>++IF(Tableau1[[#This Row],[Fournisseur]]="","",IF(H85-Tableau1[[#This Row],[Date Paiement Effectif]]&gt;0," ",H85-Tableau1[[#This Row],[Date Paiement Effectif]]))</f>
        <v/>
      </c>
      <c r="J85" s="9">
        <f>++IF(Tableau1[[#This Row],[Fournisseur]]="","",IF(Tableau1[[#This Row],[Date Paiement Effectif]]="","Non encore payée",IF(I85&lt;0,"Attention, paiement hors délais","OK RAS")))</f>
        <v/>
      </c>
      <c r="K85" s="54" t="n">
        <v>46169</v>
      </c>
      <c r="L85" s="54" t="n"/>
      <c r="M85" s="31" t="n"/>
    </row>
    <row r="86" ht="14.25" customHeight="1">
      <c r="B86" s="55" t="n"/>
      <c r="C86" s="25" t="n"/>
      <c r="D86" s="25" t="n"/>
      <c r="E86" s="46" t="n"/>
      <c r="F86" s="67" t="n"/>
      <c r="G86" s="2">
        <f>+IF(Tableau1[[#This Row],[Fournisseur]]="","",IFERROR(VLOOKUP(Tableau1[[#This Row],[Fournisseur]],SuiviFrs,2,FALSE),"Vérifier la syntaxe : Fournisseur introuvable au niveau du suivi des conventions"))</f>
        <v/>
      </c>
      <c r="H86" s="7">
        <f>++IF(Tableau1[[#This Row],[Fournisseur]]="","",C86+G86-1)</f>
        <v/>
      </c>
      <c r="I86" s="8">
        <f>++IF(Tableau1[[#This Row],[Fournisseur]]="","",IF(H86-Tableau1[[#This Row],[Date Paiement Effectif]]&gt;0," ",H86-Tableau1[[#This Row],[Date Paiement Effectif]]))</f>
        <v/>
      </c>
      <c r="J86" s="9">
        <f>++IF(Tableau1[[#This Row],[Fournisseur]]="","",IF(Tableau1[[#This Row],[Date Paiement Effectif]]="","Non encore payée",IF(I86&lt;0,"Attention, paiement hors délais","OK RAS")))</f>
        <v/>
      </c>
      <c r="K86" s="54" t="n">
        <v>46169</v>
      </c>
      <c r="L86" s="54" t="n"/>
      <c r="M86" s="31" t="n"/>
    </row>
    <row r="87" ht="14.25" customHeight="1">
      <c r="B87" s="55" t="n"/>
      <c r="C87" s="25" t="n"/>
      <c r="D87" s="25" t="n"/>
      <c r="E87" s="46" t="n"/>
      <c r="F87" s="67" t="n"/>
      <c r="G87" s="2">
        <f>+IF(Tableau1[[#This Row],[Fournisseur]]="","",IFERROR(VLOOKUP(Tableau1[[#This Row],[Fournisseur]],SuiviFrs,2,FALSE),"Vérifier la syntaxe : Fournisseur introuvable au niveau du suivi des conventions"))</f>
        <v/>
      </c>
      <c r="H87" s="7">
        <f>++IF(Tableau1[[#This Row],[Fournisseur]]="","",C87+G87-1)</f>
        <v/>
      </c>
      <c r="I87" s="8">
        <f>++IF(Tableau1[[#This Row],[Fournisseur]]="","",IF(H87-Tableau1[[#This Row],[Date Paiement Effectif]]&gt;0," ",H87-Tableau1[[#This Row],[Date Paiement Effectif]]))</f>
        <v/>
      </c>
      <c r="J87" s="9">
        <f>++IF(Tableau1[[#This Row],[Fournisseur]]="","",IF(Tableau1[[#This Row],[Date Paiement Effectif]]="","Non encore payée",IF(I87&lt;0,"Attention, paiement hors délais","OK RAS")))</f>
        <v/>
      </c>
      <c r="K87" s="31" t="n"/>
      <c r="L87" s="31" t="n"/>
      <c r="M87" s="31" t="n"/>
    </row>
    <row r="88" ht="14.25" customHeight="1">
      <c r="B88" s="55" t="n"/>
      <c r="C88" s="25" t="n"/>
      <c r="D88" s="25" t="n"/>
      <c r="E88" s="46" t="n"/>
      <c r="F88" s="67" t="n"/>
      <c r="G88" s="2">
        <f>+IF(Tableau1[[#This Row],[Fournisseur]]="","",IFERROR(VLOOKUP(Tableau1[[#This Row],[Fournisseur]],SuiviFrs,2,FALSE),"Vérifier la syntaxe : Fournisseur introuvable au niveau du suivi des conventions"))</f>
        <v/>
      </c>
      <c r="H88" s="7">
        <f>++IF(Tableau1[[#This Row],[Fournisseur]]="","",C88+G88-1)</f>
        <v/>
      </c>
      <c r="I88" s="8">
        <f>++IF(Tableau1[[#This Row],[Fournisseur]]="","",IF(H88-Tableau1[[#This Row],[Date Paiement Effectif]]&gt;0," ",H88-Tableau1[[#This Row],[Date Paiement Effectif]]))</f>
        <v/>
      </c>
      <c r="J88" s="9">
        <f>++IF(Tableau1[[#This Row],[Fournisseur]]="","",IF(Tableau1[[#This Row],[Date Paiement Effectif]]="","Non encore payée",IF(I88&lt;0,"Attention, paiement hors délais","OK RAS")))</f>
        <v/>
      </c>
      <c r="K88" s="54" t="n">
        <v>46197</v>
      </c>
      <c r="L88" s="54" t="n"/>
      <c r="M88" s="31" t="n"/>
    </row>
    <row r="89" ht="14.25" customHeight="1">
      <c r="B89" s="55" t="n"/>
      <c r="C89" s="25" t="n"/>
      <c r="D89" s="25" t="n"/>
      <c r="E89" s="46" t="n"/>
      <c r="F89" s="67" t="n"/>
      <c r="G89" s="2">
        <f>+IF(Tableau1[[#This Row],[Fournisseur]]="","",IFERROR(VLOOKUP(Tableau1[[#This Row],[Fournisseur]],SuiviFrs,2,FALSE),"Vérifier la syntaxe : Fournisseur introuvable au niveau du suivi des conventions"))</f>
        <v/>
      </c>
      <c r="H89" s="7">
        <f>++IF(Tableau1[[#This Row],[Fournisseur]]="","",C89+G89-1)</f>
        <v/>
      </c>
      <c r="I89" s="8">
        <f>++IF(Tableau1[[#This Row],[Fournisseur]]="","",IF(H89-Tableau1[[#This Row],[Date Paiement Effectif]]&gt;0," ",H89-Tableau1[[#This Row],[Date Paiement Effectif]]))</f>
        <v/>
      </c>
      <c r="J89" s="9">
        <f>++IF(Tableau1[[#This Row],[Fournisseur]]="","",IF(Tableau1[[#This Row],[Date Paiement Effectif]]="","Non encore payée",IF(I89&lt;0,"Attention, paiement hors délais","OK RAS")))</f>
        <v/>
      </c>
      <c r="K89" s="54" t="n">
        <v>46083</v>
      </c>
      <c r="L89" s="54" t="n"/>
      <c r="M89" s="31" t="n"/>
    </row>
    <row r="90" ht="14.25" customHeight="1">
      <c r="B90" s="55" t="n"/>
      <c r="C90" s="25" t="n"/>
      <c r="D90" s="25" t="n"/>
      <c r="E90" s="46" t="n"/>
      <c r="F90" s="67" t="n"/>
      <c r="G90" s="2">
        <f>+IF(Tableau1[[#This Row],[Fournisseur]]="","",IFERROR(VLOOKUP(Tableau1[[#This Row],[Fournisseur]],SuiviFrs,2,FALSE),"Vérifier la syntaxe : Fournisseur introuvable au niveau du suivi des conventions"))</f>
        <v/>
      </c>
      <c r="H90" s="7">
        <f>++IF(Tableau1[[#This Row],[Fournisseur]]="","",C90+G90-1)</f>
        <v/>
      </c>
      <c r="I90" s="8">
        <f>++IF(Tableau1[[#This Row],[Fournisseur]]="","",IF(H90-Tableau1[[#This Row],[Date Paiement Effectif]]&gt;0," ",H90-Tableau1[[#This Row],[Date Paiement Effectif]]))</f>
        <v/>
      </c>
      <c r="J90" s="9">
        <f>++IF(Tableau1[[#This Row],[Fournisseur]]="","",IF(Tableau1[[#This Row],[Date Paiement Effectif]]="","Non encore payée",IF(I90&lt;0,"Attention, paiement hors délais","OK RAS")))</f>
        <v/>
      </c>
      <c r="K90" s="54" t="n">
        <v>46059</v>
      </c>
      <c r="L90" s="54" t="n"/>
      <c r="M90" s="31" t="n"/>
    </row>
    <row r="91" ht="14.25" customHeight="1">
      <c r="B91" s="55" t="n"/>
      <c r="C91" s="25" t="n"/>
      <c r="D91" s="25" t="n"/>
      <c r="E91" s="46" t="n"/>
      <c r="F91" s="67" t="n"/>
      <c r="G91" s="2">
        <f>+IF(Tableau1[[#This Row],[Fournisseur]]="","",IFERROR(VLOOKUP(Tableau1[[#This Row],[Fournisseur]],SuiviFrs,2,FALSE),"Vérifier la syntaxe : Fournisseur introuvable au niveau du suivi des conventions"))</f>
        <v/>
      </c>
      <c r="H91" s="7">
        <f>++IF(Tableau1[[#This Row],[Fournisseur]]="","",C91+G91-1)</f>
        <v/>
      </c>
      <c r="I91" s="8">
        <f>++IF(Tableau1[[#This Row],[Fournisseur]]="","",IF(H91-Tableau1[[#This Row],[Date Paiement Effectif]]&gt;0," ",H91-Tableau1[[#This Row],[Date Paiement Effectif]]))</f>
        <v/>
      </c>
      <c r="J91" s="9">
        <f>++IF(Tableau1[[#This Row],[Fournisseur]]="","",IF(Tableau1[[#This Row],[Date Paiement Effectif]]="","Non encore payée",IF(I91&lt;0,"Attention, paiement hors délais","OK RAS")))</f>
        <v/>
      </c>
      <c r="K91" s="54" t="n">
        <v>46084</v>
      </c>
      <c r="L91" s="54" t="n"/>
      <c r="M91" s="31" t="n"/>
    </row>
    <row r="92" ht="14.25" customHeight="1">
      <c r="B92" s="55" t="n"/>
      <c r="C92" s="25" t="n"/>
      <c r="D92" s="25" t="n"/>
      <c r="E92" s="46" t="n"/>
      <c r="F92" s="67" t="n"/>
      <c r="G92" s="2">
        <f>+IF(Tableau1[[#This Row],[Fournisseur]]="","",IFERROR(VLOOKUP(Tableau1[[#This Row],[Fournisseur]],SuiviFrs,2,FALSE),"Vérifier la syntaxe : Fournisseur introuvable au niveau du suivi des conventions"))</f>
        <v/>
      </c>
      <c r="H92" s="7">
        <f>++IF(Tableau1[[#This Row],[Fournisseur]]="","",C92+G92-1)</f>
        <v/>
      </c>
      <c r="I92" s="8">
        <f>++IF(Tableau1[[#This Row],[Fournisseur]]="","",IF(H92-Tableau1[[#This Row],[Date Paiement Effectif]]&gt;0," ",H92-Tableau1[[#This Row],[Date Paiement Effectif]]))</f>
        <v/>
      </c>
      <c r="J92" s="9">
        <f>++IF(Tableau1[[#This Row],[Fournisseur]]="","",IF(Tableau1[[#This Row],[Date Paiement Effectif]]="","Non encore payée",IF(I92&lt;0,"Attention, paiement hors délais","OK RAS")))</f>
        <v/>
      </c>
      <c r="K92" s="54" t="n">
        <v>46079</v>
      </c>
      <c r="L92" s="54" t="n"/>
      <c r="M92" s="31" t="n"/>
    </row>
    <row r="93" ht="14.25" customHeight="1">
      <c r="B93" s="55" t="n"/>
      <c r="C93" s="25" t="n"/>
      <c r="D93" s="25" t="n"/>
      <c r="E93" s="46" t="n"/>
      <c r="F93" s="67" t="n"/>
      <c r="G93" s="2">
        <f>+IF(Tableau1[[#This Row],[Fournisseur]]="","",IFERROR(VLOOKUP(Tableau1[[#This Row],[Fournisseur]],SuiviFrs,2,FALSE),"Vérifier la syntaxe : Fournisseur introuvable au niveau du suivi des conventions"))</f>
        <v/>
      </c>
      <c r="H93" s="7">
        <f>++IF(Tableau1[[#This Row],[Fournisseur]]="","",C93+G93-1)</f>
        <v/>
      </c>
      <c r="I93" s="8">
        <f>++IF(Tableau1[[#This Row],[Fournisseur]]="","",IF(H93-Tableau1[[#This Row],[Date Paiement Effectif]]&gt;0," ",H93-Tableau1[[#This Row],[Date Paiement Effectif]]))</f>
        <v/>
      </c>
      <c r="J93" s="9">
        <f>++IF(Tableau1[[#This Row],[Fournisseur]]="","",IF(Tableau1[[#This Row],[Date Paiement Effectif]]="","Non encore payée",IF(I93&lt;0,"Attention, paiement hors délais","OK RAS")))</f>
        <v/>
      </c>
      <c r="K93" s="54" t="n">
        <v>46098</v>
      </c>
      <c r="L93" s="54" t="n"/>
      <c r="M93" s="31" t="n"/>
    </row>
    <row r="94" ht="14.25" customHeight="1">
      <c r="B94" s="55" t="n"/>
      <c r="C94" s="25" t="n"/>
      <c r="D94" s="25" t="n"/>
      <c r="E94" s="46" t="n"/>
      <c r="F94" s="67" t="n"/>
      <c r="G94" s="2">
        <f>+IF(Tableau1[[#This Row],[Fournisseur]]="","",IFERROR(VLOOKUP(Tableau1[[#This Row],[Fournisseur]],SuiviFrs,2,FALSE),"Vérifier la syntaxe : Fournisseur introuvable au niveau du suivi des conventions"))</f>
        <v/>
      </c>
      <c r="H94" s="7">
        <f>++IF(Tableau1[[#This Row],[Fournisseur]]="","",C94+G94-1)</f>
        <v/>
      </c>
      <c r="I94" s="8">
        <f>++IF(Tableau1[[#This Row],[Fournisseur]]="","",IF(H94-Tableau1[[#This Row],[Date Paiement Effectif]]&gt;0," ",H94-Tableau1[[#This Row],[Date Paiement Effectif]]))</f>
        <v/>
      </c>
      <c r="J94" s="9">
        <f>++IF(Tableau1[[#This Row],[Fournisseur]]="","",IF(Tableau1[[#This Row],[Date Paiement Effectif]]="","Non encore payée",IF(I94&lt;0,"Attention, paiement hors délais","OK RAS")))</f>
        <v/>
      </c>
      <c r="K94" s="54" t="n">
        <v>46062</v>
      </c>
      <c r="L94" s="54" t="n"/>
      <c r="M94" s="31" t="n"/>
    </row>
    <row r="95" ht="14.25" customHeight="1">
      <c r="B95" s="55" t="n"/>
      <c r="C95" s="25" t="n"/>
      <c r="D95" s="25" t="n"/>
      <c r="E95" s="46" t="n"/>
      <c r="F95" s="67" t="n"/>
      <c r="G95" s="2">
        <f>+IF(Tableau1[[#This Row],[Fournisseur]]="","",IFERROR(VLOOKUP(Tableau1[[#This Row],[Fournisseur]],SuiviFrs,2,FALSE),"Vérifier la syntaxe : Fournisseur introuvable au niveau du suivi des conventions"))</f>
        <v/>
      </c>
      <c r="H95" s="7">
        <f>++IF(Tableau1[[#This Row],[Fournisseur]]="","",C95+G95-1)</f>
        <v/>
      </c>
      <c r="I95" s="8">
        <f>++IF(Tableau1[[#This Row],[Fournisseur]]="","",IF(H95-Tableau1[[#This Row],[Date Paiement Effectif]]&gt;0," ",H95-Tableau1[[#This Row],[Date Paiement Effectif]]))</f>
        <v/>
      </c>
      <c r="J95" s="9">
        <f>++IF(Tableau1[[#This Row],[Fournisseur]]="","",IF(Tableau1[[#This Row],[Date Paiement Effectif]]="","Non encore payée",IF(I95&lt;0,"Attention, paiement hors délais","OK RAS")))</f>
        <v/>
      </c>
      <c r="K95" s="54" t="n">
        <v>46083</v>
      </c>
      <c r="L95" s="54" t="n"/>
      <c r="M95" s="31" t="n"/>
    </row>
    <row r="96" ht="14.25" customHeight="1">
      <c r="B96" s="55" t="n"/>
      <c r="C96" s="25" t="n"/>
      <c r="D96" s="25" t="n"/>
      <c r="E96" s="46" t="n"/>
      <c r="F96" s="67" t="n"/>
      <c r="G96" s="2">
        <f>+IF(Tableau1[[#This Row],[Fournisseur]]="","",IFERROR(VLOOKUP(Tableau1[[#This Row],[Fournisseur]],SuiviFrs,2,FALSE),"Vérifier la syntaxe : Fournisseur introuvable au niveau du suivi des conventions"))</f>
        <v/>
      </c>
      <c r="H96" s="7">
        <f>++IF(Tableau1[[#This Row],[Fournisseur]]="","",C96+G96-1)</f>
        <v/>
      </c>
      <c r="I96" s="8">
        <f>++IF(Tableau1[[#This Row],[Fournisseur]]="","",IF(H96-Tableau1[[#This Row],[Date Paiement Effectif]]&gt;0," ",H96-Tableau1[[#This Row],[Date Paiement Effectif]]))</f>
        <v/>
      </c>
      <c r="J96" s="9">
        <f>++IF(Tableau1[[#This Row],[Fournisseur]]="","",IF(Tableau1[[#This Row],[Date Paiement Effectif]]="","Non encore payée",IF(I96&lt;0,"Attention, paiement hors délais","OK RAS")))</f>
        <v/>
      </c>
      <c r="K96" s="54" t="n">
        <v>46059</v>
      </c>
      <c r="L96" s="54" t="n"/>
      <c r="M96" s="31" t="n"/>
    </row>
    <row r="97" ht="14.25" customHeight="1">
      <c r="B97" s="55" t="n"/>
      <c r="C97" s="25" t="n"/>
      <c r="D97" s="25" t="n"/>
      <c r="E97" s="46" t="n"/>
      <c r="F97" s="67" t="n"/>
      <c r="G97" s="2">
        <f>+IF(Tableau1[[#This Row],[Fournisseur]]="","",IFERROR(VLOOKUP(Tableau1[[#This Row],[Fournisseur]],SuiviFrs,2,FALSE),"Vérifier la syntaxe : Fournisseur introuvable au niveau du suivi des conventions"))</f>
        <v/>
      </c>
      <c r="H97" s="7">
        <f>++IF(Tableau1[[#This Row],[Fournisseur]]="","",C97+G97-1)</f>
        <v/>
      </c>
      <c r="I97" s="8">
        <f>++IF(Tableau1[[#This Row],[Fournisseur]]="","",IF(H97-Tableau1[[#This Row],[Date Paiement Effectif]]&gt;0," ",H97-Tableau1[[#This Row],[Date Paiement Effectif]]))</f>
        <v/>
      </c>
      <c r="J97" s="9">
        <f>++IF(Tableau1[[#This Row],[Fournisseur]]="","",IF(Tableau1[[#This Row],[Date Paiement Effectif]]="","Non encore payée",IF(I97&lt;0,"Attention, paiement hors délais","OK RAS")))</f>
        <v/>
      </c>
      <c r="K97" s="54" t="n">
        <v>46059</v>
      </c>
      <c r="L97" s="54" t="n"/>
      <c r="M97" s="31" t="n"/>
    </row>
    <row r="98" ht="14.25" customHeight="1">
      <c r="B98" s="55" t="n"/>
      <c r="C98" s="25" t="n"/>
      <c r="D98" s="25" t="n"/>
      <c r="E98" s="46" t="n"/>
      <c r="F98" s="67" t="n"/>
      <c r="G98" s="2">
        <f>+IF(Tableau1[[#This Row],[Fournisseur]]="","",IFERROR(VLOOKUP(Tableau1[[#This Row],[Fournisseur]],SuiviFrs,2,FALSE),"Vérifier la syntaxe : Fournisseur introuvable au niveau du suivi des conventions"))</f>
        <v/>
      </c>
      <c r="H98" s="7">
        <f>++IF(Tableau1[[#This Row],[Fournisseur]]="","",C98+G98-1)</f>
        <v/>
      </c>
      <c r="I98" s="8">
        <f>++IF(Tableau1[[#This Row],[Fournisseur]]="","",IF(H98-Tableau1[[#This Row],[Date Paiement Effectif]]&gt;0," ",H98-Tableau1[[#This Row],[Date Paiement Effectif]]))</f>
        <v/>
      </c>
      <c r="J98" s="9">
        <f>++IF(Tableau1[[#This Row],[Fournisseur]]="","",IF(Tableau1[[#This Row],[Date Paiement Effectif]]="","Non encore payée",IF(I98&lt;0,"Attention, paiement hors délais","OK RAS")))</f>
        <v/>
      </c>
      <c r="K98" s="54" t="n">
        <v>46059</v>
      </c>
      <c r="L98" s="54" t="n"/>
      <c r="M98" s="31" t="n"/>
    </row>
    <row r="99" ht="14.25" customHeight="1">
      <c r="B99" s="55" t="n"/>
      <c r="C99" s="25" t="n"/>
      <c r="D99" s="25" t="n"/>
      <c r="E99" s="46" t="n"/>
      <c r="F99" s="67" t="n"/>
      <c r="G99" s="2">
        <f>+IF(Tableau1[[#This Row],[Fournisseur]]="","",IFERROR(VLOOKUP(Tableau1[[#This Row],[Fournisseur]],SuiviFrs,2,FALSE),"Vérifier la syntaxe : Fournisseur introuvable au niveau du suivi des conventions"))</f>
        <v/>
      </c>
      <c r="H99" s="7">
        <f>++IF(Tableau1[[#This Row],[Fournisseur]]="","",C99+G99-1)</f>
        <v/>
      </c>
      <c r="I99" s="8">
        <f>++IF(Tableau1[[#This Row],[Fournisseur]]="","",IF(H99-Tableau1[[#This Row],[Date Paiement Effectif]]&gt;0," ",H99-Tableau1[[#This Row],[Date Paiement Effectif]]))</f>
        <v/>
      </c>
      <c r="J99" s="9">
        <f>++IF(Tableau1[[#This Row],[Fournisseur]]="","",IF(Tableau1[[#This Row],[Date Paiement Effectif]]="","Non encore payée",IF(I99&lt;0,"Attention, paiement hors délais","OK RAS")))</f>
        <v/>
      </c>
      <c r="K99" s="54" t="n">
        <v>46083</v>
      </c>
      <c r="L99" s="54" t="n"/>
      <c r="M99" s="31" t="n"/>
    </row>
    <row r="100" ht="14.25" customHeight="1">
      <c r="B100" s="55" t="n"/>
      <c r="C100" s="25" t="n"/>
      <c r="D100" s="25" t="n"/>
      <c r="E100" s="46" t="n"/>
      <c r="F100" s="67" t="n"/>
      <c r="G100" s="2">
        <f>+IF(Tableau1[[#This Row],[Fournisseur]]="","",IFERROR(VLOOKUP(Tableau1[[#This Row],[Fournisseur]],SuiviFrs,2,FALSE),"Vérifier la syntaxe : Fournisseur introuvable au niveau du suivi des conventions"))</f>
        <v/>
      </c>
      <c r="H100" s="7">
        <f>++IF(Tableau1[[#This Row],[Fournisseur]]="","",C100+G100-1)</f>
        <v/>
      </c>
      <c r="I100" s="8">
        <f>++IF(Tableau1[[#This Row],[Fournisseur]]="","",IF(H100-Tableau1[[#This Row],[Date Paiement Effectif]]&gt;0," ",H100-Tableau1[[#This Row],[Date Paiement Effectif]]))</f>
        <v/>
      </c>
      <c r="J100" s="9">
        <f>++IF(Tableau1[[#This Row],[Fournisseur]]="","",IF(Tableau1[[#This Row],[Date Paiement Effectif]]="","Non encore payée",IF(I100&lt;0,"Attention, paiement hors délais","OK RAS")))</f>
        <v/>
      </c>
      <c r="K100" s="54" t="n">
        <v>46083</v>
      </c>
      <c r="L100" s="54" t="n"/>
      <c r="M100" s="31" t="n"/>
    </row>
    <row r="101" ht="14.25" customHeight="1">
      <c r="B101" s="55" t="n"/>
      <c r="C101" s="25" t="n"/>
      <c r="D101" s="25" t="n"/>
      <c r="E101" s="46" t="n"/>
      <c r="F101" s="67" t="n"/>
      <c r="G101" s="2">
        <f>+IF(Tableau1[[#This Row],[Fournisseur]]="","",IFERROR(VLOOKUP(Tableau1[[#This Row],[Fournisseur]],SuiviFrs,2,FALSE),"Vérifier la syntaxe : Fournisseur introuvable au niveau du suivi des conventions"))</f>
        <v/>
      </c>
      <c r="H101" s="7">
        <f>++IF(Tableau1[[#This Row],[Fournisseur]]="","",C101+G101-1)</f>
        <v/>
      </c>
      <c r="I101" s="8">
        <f>++IF(Tableau1[[#This Row],[Fournisseur]]="","",IF(H101-Tableau1[[#This Row],[Date Paiement Effectif]]&gt;0," ",H101-Tableau1[[#This Row],[Date Paiement Effectif]]))</f>
        <v/>
      </c>
      <c r="J101" s="9">
        <f>++IF(Tableau1[[#This Row],[Fournisseur]]="","",IF(Tableau1[[#This Row],[Date Paiement Effectif]]="","Non encore payée",IF(I101&lt;0,"Attention, paiement hors délais","OK RAS")))</f>
        <v/>
      </c>
      <c r="K101" s="54" t="n">
        <v>46083</v>
      </c>
      <c r="L101" s="54" t="n"/>
      <c r="M101" s="31" t="n"/>
    </row>
    <row r="102" ht="14.25" customHeight="1">
      <c r="B102" s="55" t="n"/>
      <c r="C102" s="25" t="n"/>
      <c r="D102" s="25" t="n"/>
      <c r="E102" s="46" t="n"/>
      <c r="F102" s="67" t="n"/>
      <c r="G102" s="2">
        <f>+IF(Tableau1[[#This Row],[Fournisseur]]="","",IFERROR(VLOOKUP(Tableau1[[#This Row],[Fournisseur]],SuiviFrs,2,FALSE),"Vérifier la syntaxe : Fournisseur introuvable au niveau du suivi des conventions"))</f>
        <v/>
      </c>
      <c r="H102" s="7">
        <f>++IF(Tableau1[[#This Row],[Fournisseur]]="","",C102+G102-1)</f>
        <v/>
      </c>
      <c r="I102" s="8">
        <f>++IF(Tableau1[[#This Row],[Fournisseur]]="","",IF(H102-Tableau1[[#This Row],[Date Paiement Effectif]]&gt;0," ",H102-Tableau1[[#This Row],[Date Paiement Effectif]]))</f>
        <v/>
      </c>
      <c r="J102" s="9">
        <f>++IF(Tableau1[[#This Row],[Fournisseur]]="","",IF(Tableau1[[#This Row],[Date Paiement Effectif]]="","Non encore payée",IF(I102&lt;0,"Attention, paiement hors délais","OK RAS")))</f>
        <v/>
      </c>
      <c r="K102" s="54" t="n">
        <v>46083</v>
      </c>
      <c r="L102" s="54" t="n"/>
      <c r="M102" s="31" t="n"/>
    </row>
    <row r="103" ht="14.25" customHeight="1">
      <c r="B103" s="55" t="n"/>
      <c r="C103" s="25" t="n"/>
      <c r="D103" s="25" t="n"/>
      <c r="E103" s="46" t="n"/>
      <c r="F103" s="67" t="n"/>
      <c r="G103" s="2">
        <f>+IF(Tableau1[[#This Row],[Fournisseur]]="","",IFERROR(VLOOKUP(Tableau1[[#This Row],[Fournisseur]],SuiviFrs,2,FALSE),"Vérifier la syntaxe : Fournisseur introuvable au niveau du suivi des conventions"))</f>
        <v/>
      </c>
      <c r="H103" s="7">
        <f>++IF(Tableau1[[#This Row],[Fournisseur]]="","",C103+G103-1)</f>
        <v/>
      </c>
      <c r="I103" s="8">
        <f>++IF(Tableau1[[#This Row],[Fournisseur]]="","",IF(H103-Tableau1[[#This Row],[Date Paiement Effectif]]&gt;0," ",H103-Tableau1[[#This Row],[Date Paiement Effectif]]))</f>
        <v/>
      </c>
      <c r="J103" s="9">
        <f>++IF(Tableau1[[#This Row],[Fournisseur]]="","",IF(Tableau1[[#This Row],[Date Paiement Effectif]]="","Non encore payée",IF(I103&lt;0,"Attention, paiement hors délais","OK RAS")))</f>
        <v/>
      </c>
      <c r="K103" s="54" t="n">
        <v>46083</v>
      </c>
      <c r="L103" s="54" t="n"/>
      <c r="M103" s="31" t="n"/>
    </row>
    <row r="104" ht="14.25" customHeight="1">
      <c r="B104" s="55" t="n"/>
      <c r="C104" s="25" t="n"/>
      <c r="D104" s="25" t="n"/>
      <c r="E104" s="46" t="n"/>
      <c r="F104" s="67" t="n"/>
      <c r="G104" s="2">
        <f>+IF(Tableau1[[#This Row],[Fournisseur]]="","",IFERROR(VLOOKUP(Tableau1[[#This Row],[Fournisseur]],SuiviFrs,2,FALSE),"Vérifier la syntaxe : Fournisseur introuvable au niveau du suivi des conventions"))</f>
        <v/>
      </c>
      <c r="H104" s="7">
        <f>++IF(Tableau1[[#This Row],[Fournisseur]]="","",C104+G104-1)</f>
        <v/>
      </c>
      <c r="I104" s="8">
        <f>++IF(Tableau1[[#This Row],[Fournisseur]]="","",IF(H104-Tableau1[[#This Row],[Date Paiement Effectif]]&gt;0," ",H104-Tableau1[[#This Row],[Date Paiement Effectif]]))</f>
        <v/>
      </c>
      <c r="J104" s="9">
        <f>++IF(Tableau1[[#This Row],[Fournisseur]]="","",IF(Tableau1[[#This Row],[Date Paiement Effectif]]="","Non encore payée",IF(I104&lt;0,"Attention, paiement hors délais","OK RAS")))</f>
        <v/>
      </c>
      <c r="K104" s="54" t="n">
        <v>46150</v>
      </c>
      <c r="L104" s="54" t="n"/>
      <c r="M104" s="31" t="n"/>
    </row>
    <row r="105" ht="14.25" customHeight="1">
      <c r="B105" s="55" t="n"/>
      <c r="C105" s="25" t="n"/>
      <c r="D105" s="25" t="n"/>
      <c r="E105" s="46" t="n"/>
      <c r="F105" s="67" t="n"/>
      <c r="G105" s="2">
        <f>+IF(Tableau1[[#This Row],[Fournisseur]]="","",IFERROR(VLOOKUP(Tableau1[[#This Row],[Fournisseur]],SuiviFrs,2,FALSE),"Vérifier la syntaxe : Fournisseur introuvable au niveau du suivi des conventions"))</f>
        <v/>
      </c>
      <c r="H105" s="7">
        <f>++IF(Tableau1[[#This Row],[Fournisseur]]="","",C105+G105-1)</f>
        <v/>
      </c>
      <c r="I105" s="8">
        <f>++IF(Tableau1[[#This Row],[Fournisseur]]="","",IF(H105-Tableau1[[#This Row],[Date Paiement Effectif]]&gt;0," ",H105-Tableau1[[#This Row],[Date Paiement Effectif]]))</f>
        <v/>
      </c>
      <c r="J105" s="9">
        <f>++IF(Tableau1[[#This Row],[Fournisseur]]="","",IF(Tableau1[[#This Row],[Date Paiement Effectif]]="","Non encore payée",IF(I105&lt;0,"Attention, paiement hors délais","OK RAS")))</f>
        <v/>
      </c>
      <c r="K105" s="54" t="n">
        <v>46150</v>
      </c>
      <c r="L105" s="54" t="n"/>
      <c r="M105" s="31" t="n"/>
    </row>
    <row r="106" ht="14.25" customHeight="1">
      <c r="B106" s="55" t="n"/>
      <c r="C106" s="25" t="n"/>
      <c r="D106" s="25" t="n"/>
      <c r="E106" s="46" t="n"/>
      <c r="F106" s="67" t="n"/>
      <c r="G106" s="2">
        <f>+IF(Tableau1[[#This Row],[Fournisseur]]="","",IFERROR(VLOOKUP(Tableau1[[#This Row],[Fournisseur]],SuiviFrs,2,FALSE),"Vérifier la syntaxe : Fournisseur introuvable au niveau du suivi des conventions"))</f>
        <v/>
      </c>
      <c r="H106" s="7">
        <f>++IF(Tableau1[[#This Row],[Fournisseur]]="","",C106+G106-1)</f>
        <v/>
      </c>
      <c r="I106" s="8">
        <f>++IF(Tableau1[[#This Row],[Fournisseur]]="","",IF(H106-Tableau1[[#This Row],[Date Paiement Effectif]]&gt;0," ",H106-Tableau1[[#This Row],[Date Paiement Effectif]]))</f>
        <v/>
      </c>
      <c r="J106" s="9">
        <f>++IF(Tableau1[[#This Row],[Fournisseur]]="","",IF(Tableau1[[#This Row],[Date Paiement Effectif]]="","Non encore payée",IF(I106&lt;0,"Attention, paiement hors délais","OK RAS")))</f>
        <v/>
      </c>
      <c r="K106" s="54" t="n">
        <v>46150</v>
      </c>
      <c r="L106" s="54" t="n"/>
      <c r="M106" s="31" t="n"/>
    </row>
    <row r="107" ht="14.25" customHeight="1">
      <c r="B107" s="55" t="n"/>
      <c r="C107" s="25" t="n"/>
      <c r="D107" s="25" t="n"/>
      <c r="E107" s="46" t="n"/>
      <c r="F107" s="67" t="n"/>
      <c r="G107" s="2">
        <f>+IF(Tableau1[[#This Row],[Fournisseur]]="","",IFERROR(VLOOKUP(Tableau1[[#This Row],[Fournisseur]],SuiviFrs,2,FALSE),"Vérifier la syntaxe : Fournisseur introuvable au niveau du suivi des conventions"))</f>
        <v/>
      </c>
      <c r="H107" s="7">
        <f>++IF(Tableau1[[#This Row],[Fournisseur]]="","",C107+G107-1)</f>
        <v/>
      </c>
      <c r="I107" s="8">
        <f>++IF(Tableau1[[#This Row],[Fournisseur]]="","",IF(H107-Tableau1[[#This Row],[Date Paiement Effectif]]&gt;0," ",H107-Tableau1[[#This Row],[Date Paiement Effectif]]))</f>
        <v/>
      </c>
      <c r="J107" s="9">
        <f>++IF(Tableau1[[#This Row],[Fournisseur]]="","",IF(Tableau1[[#This Row],[Date Paiement Effectif]]="","Non encore payée",IF(I107&lt;0,"Attention, paiement hors délais","OK RAS")))</f>
        <v/>
      </c>
      <c r="K107" s="54" t="n">
        <v>46171</v>
      </c>
      <c r="L107" s="54" t="n"/>
      <c r="M107" s="31" t="n"/>
    </row>
    <row r="108" ht="14.25" customHeight="1">
      <c r="B108" s="55" t="n"/>
      <c r="C108" s="25" t="n"/>
      <c r="D108" s="25" t="n"/>
      <c r="E108" s="46" t="n"/>
      <c r="F108" s="67" t="n"/>
      <c r="G108" s="2">
        <f>+IF(Tableau1[[#This Row],[Fournisseur]]="","",IFERROR(VLOOKUP(Tableau1[[#This Row],[Fournisseur]],SuiviFrs,2,FALSE),"Vérifier la syntaxe : Fournisseur introuvable au niveau du suivi des conventions"))</f>
        <v/>
      </c>
      <c r="H108" s="7">
        <f>++IF(Tableau1[[#This Row],[Fournisseur]]="","",C108+G108-1)</f>
        <v/>
      </c>
      <c r="I108" s="8">
        <f>++IF(Tableau1[[#This Row],[Fournisseur]]="","",IF(H108-Tableau1[[#This Row],[Date Paiement Effectif]]&gt;0," ",H108-Tableau1[[#This Row],[Date Paiement Effectif]]))</f>
        <v/>
      </c>
      <c r="J108" s="9">
        <f>++IF(Tableau1[[#This Row],[Fournisseur]]="","",IF(Tableau1[[#This Row],[Date Paiement Effectif]]="","Non encore payée",IF(I108&lt;0,"Attention, paiement hors délais","OK RAS")))</f>
        <v/>
      </c>
      <c r="K108" s="54" t="n">
        <v>46184</v>
      </c>
      <c r="L108" s="54" t="n"/>
      <c r="M108" s="31" t="n"/>
    </row>
    <row r="109" ht="14.25" customHeight="1">
      <c r="B109" s="55" t="n"/>
      <c r="C109" s="25" t="n"/>
      <c r="D109" s="25" t="n"/>
      <c r="E109" s="46" t="n"/>
      <c r="F109" s="67" t="n"/>
      <c r="G109" s="2">
        <f>+IF(Tableau1[[#This Row],[Fournisseur]]="","",IFERROR(VLOOKUP(Tableau1[[#This Row],[Fournisseur]],SuiviFrs,2,FALSE),"Vérifier la syntaxe : Fournisseur introuvable au niveau du suivi des conventions"))</f>
        <v/>
      </c>
      <c r="H109" s="7">
        <f>++IF(Tableau1[[#This Row],[Fournisseur]]="","",C109+G109-1)</f>
        <v/>
      </c>
      <c r="I109" s="8">
        <f>++IF(Tableau1[[#This Row],[Fournisseur]]="","",IF(H109-Tableau1[[#This Row],[Date Paiement Effectif]]&gt;0," ",H109-Tableau1[[#This Row],[Date Paiement Effectif]]))</f>
        <v/>
      </c>
      <c r="J109" s="9">
        <f>++IF(Tableau1[[#This Row],[Fournisseur]]="","",IF(Tableau1[[#This Row],[Date Paiement Effectif]]="","Non encore payée",IF(I109&lt;0,"Attention, paiement hors délais","OK RAS")))</f>
        <v/>
      </c>
      <c r="K109" s="54" t="n">
        <v>46184</v>
      </c>
      <c r="L109" s="54" t="n"/>
      <c r="M109" s="31" t="n"/>
    </row>
    <row r="110" ht="14.25" customHeight="1">
      <c r="B110" s="55" t="n"/>
      <c r="C110" s="25" t="n"/>
      <c r="D110" s="25" t="n"/>
      <c r="E110" s="46" t="n"/>
      <c r="F110" s="67" t="n"/>
      <c r="G110" s="2">
        <f>+IF(Tableau1[[#This Row],[Fournisseur]]="","",IFERROR(VLOOKUP(Tableau1[[#This Row],[Fournisseur]],SuiviFrs,2,FALSE),"Vérifier la syntaxe : Fournisseur introuvable au niveau du suivi des conventions"))</f>
        <v/>
      </c>
      <c r="H110" s="7">
        <f>++IF(Tableau1[[#This Row],[Fournisseur]]="","",C110+G110-1)</f>
        <v/>
      </c>
      <c r="I110" s="8">
        <f>++IF(Tableau1[[#This Row],[Fournisseur]]="","",IF(H110-Tableau1[[#This Row],[Date Paiement Effectif]]&gt;0," ",H110-Tableau1[[#This Row],[Date Paiement Effectif]]))</f>
        <v/>
      </c>
      <c r="J110" s="9">
        <f>++IF(Tableau1[[#This Row],[Fournisseur]]="","",IF(Tableau1[[#This Row],[Date Paiement Effectif]]="","Non encore payée",IF(I110&lt;0,"Attention, paiement hors délais","OK RAS")))</f>
        <v/>
      </c>
      <c r="K110" s="54" t="n">
        <v>46184</v>
      </c>
      <c r="L110" s="54" t="n"/>
      <c r="M110" s="31" t="n"/>
    </row>
    <row r="111" ht="14.25" customHeight="1">
      <c r="B111" s="55" t="n"/>
      <c r="C111" s="25" t="n"/>
      <c r="D111" s="25" t="n"/>
      <c r="E111" s="46" t="n"/>
      <c r="F111" s="67" t="n"/>
      <c r="G111" s="2">
        <f>+IF(Tableau1[[#This Row],[Fournisseur]]="","",IFERROR(VLOOKUP(Tableau1[[#This Row],[Fournisseur]],SuiviFrs,2,FALSE),"Vérifier la syntaxe : Fournisseur introuvable au niveau du suivi des conventions"))</f>
        <v/>
      </c>
      <c r="H111" s="7">
        <f>++IF(Tableau1[[#This Row],[Fournisseur]]="","",C111+G111-1)</f>
        <v/>
      </c>
      <c r="I111" s="8">
        <f>++IF(Tableau1[[#This Row],[Fournisseur]]="","",IF(H111-Tableau1[[#This Row],[Date Paiement Effectif]]&gt;0," ",H111-Tableau1[[#This Row],[Date Paiement Effectif]]))</f>
        <v/>
      </c>
      <c r="J111" s="9">
        <f>++IF(Tableau1[[#This Row],[Fournisseur]]="","",IF(Tableau1[[#This Row],[Date Paiement Effectif]]="","Non encore payée",IF(I111&lt;0,"Attention, paiement hors délais","OK RAS")))</f>
        <v/>
      </c>
      <c r="K111" s="54" t="n">
        <v>46184</v>
      </c>
      <c r="L111" s="54" t="n"/>
      <c r="M111" s="31" t="n"/>
    </row>
    <row r="112" ht="14.25" customHeight="1">
      <c r="B112" s="55" t="n"/>
      <c r="C112" s="25" t="n"/>
      <c r="D112" s="25" t="n"/>
      <c r="E112" s="46" t="n"/>
      <c r="F112" s="67" t="n"/>
      <c r="G112" s="2">
        <f>+IF(Tableau1[[#This Row],[Fournisseur]]="","",IFERROR(VLOOKUP(Tableau1[[#This Row],[Fournisseur]],SuiviFrs,2,FALSE),"Vérifier la syntaxe : Fournisseur introuvable au niveau du suivi des conventions"))</f>
        <v/>
      </c>
      <c r="H112" s="7">
        <f>++IF(Tableau1[[#This Row],[Fournisseur]]="","",C112+G112-1)</f>
        <v/>
      </c>
      <c r="I112" s="8">
        <f>++IF(Tableau1[[#This Row],[Fournisseur]]="","",IF(H112-Tableau1[[#This Row],[Date Paiement Effectif]]&gt;0," ",H112-Tableau1[[#This Row],[Date Paiement Effectif]]))</f>
        <v/>
      </c>
      <c r="J112" s="9">
        <f>++IF(Tableau1[[#This Row],[Fournisseur]]="","",IF(Tableau1[[#This Row],[Date Paiement Effectif]]="","Non encore payée",IF(I112&lt;0,"Attention, paiement hors délais","OK RAS")))</f>
        <v/>
      </c>
      <c r="K112" s="54" t="n">
        <v>46184</v>
      </c>
      <c r="L112" s="54" t="n"/>
      <c r="M112" s="31" t="n"/>
    </row>
    <row r="113" ht="14.25" customHeight="1">
      <c r="B113" s="55" t="n"/>
      <c r="C113" s="25" t="n"/>
      <c r="D113" s="25" t="n"/>
      <c r="E113" s="46" t="n"/>
      <c r="F113" s="67" t="n"/>
      <c r="G113" s="2">
        <f>+IF(Tableau1[[#This Row],[Fournisseur]]="","",IFERROR(VLOOKUP(Tableau1[[#This Row],[Fournisseur]],SuiviFrs,2,FALSE),"Vérifier la syntaxe : Fournisseur introuvable au niveau du suivi des conventions"))</f>
        <v/>
      </c>
      <c r="H113" s="7">
        <f>++IF(Tableau1[[#This Row],[Fournisseur]]="","",C113+G113-1)</f>
        <v/>
      </c>
      <c r="I113" s="8">
        <f>++IF(Tableau1[[#This Row],[Fournisseur]]="","",IF(H113-Tableau1[[#This Row],[Date Paiement Effectif]]&gt;0," ",H113-Tableau1[[#This Row],[Date Paiement Effectif]]))</f>
        <v/>
      </c>
      <c r="J113" s="9">
        <f>++IF(Tableau1[[#This Row],[Fournisseur]]="","",IF(Tableau1[[#This Row],[Date Paiement Effectif]]="","Non encore payée",IF(I113&lt;0,"Attention, paiement hors délais","OK RAS")))</f>
        <v/>
      </c>
      <c r="K113" s="54" t="n">
        <v>46184</v>
      </c>
      <c r="L113" s="54" t="n"/>
      <c r="M113" s="31" t="n"/>
    </row>
    <row r="114" ht="14.25" customHeight="1">
      <c r="B114" s="55" t="n"/>
      <c r="C114" s="25" t="n"/>
      <c r="D114" s="25" t="n"/>
      <c r="E114" s="46" t="n"/>
      <c r="F114" s="67" t="n"/>
      <c r="G114" s="2">
        <f>+IF(Tableau1[[#This Row],[Fournisseur]]="","",IFERROR(VLOOKUP(Tableau1[[#This Row],[Fournisseur]],SuiviFrs,2,FALSE),"Vérifier la syntaxe : Fournisseur introuvable au niveau du suivi des conventions"))</f>
        <v/>
      </c>
      <c r="H114" s="7">
        <f>++IF(Tableau1[[#This Row],[Fournisseur]]="","",C114+G114-1)</f>
        <v/>
      </c>
      <c r="I114" s="8">
        <f>++IF(Tableau1[[#This Row],[Fournisseur]]="","",IF(H114-Tableau1[[#This Row],[Date Paiement Effectif]]&gt;0," ",H114-Tableau1[[#This Row],[Date Paiement Effectif]]))</f>
        <v/>
      </c>
      <c r="J114" s="9">
        <f>++IF(Tableau1[[#This Row],[Fournisseur]]="","",IF(Tableau1[[#This Row],[Date Paiement Effectif]]="","Non encore payée",IF(I114&lt;0,"Attention, paiement hors délais","OK RAS")))</f>
        <v/>
      </c>
      <c r="K114" s="54" t="n">
        <v>46043</v>
      </c>
      <c r="L114" s="54" t="n"/>
      <c r="M114" s="31" t="n"/>
    </row>
    <row r="115" ht="14.25" customHeight="1">
      <c r="B115" s="55" t="n"/>
      <c r="C115" s="25" t="n"/>
      <c r="D115" s="25" t="n"/>
      <c r="E115" s="26" t="n"/>
      <c r="F115" s="67" t="n"/>
      <c r="G115" s="2">
        <f>+IF(Tableau1[[#This Row],[Fournisseur]]="","",IFERROR(VLOOKUP(Tableau1[[#This Row],[Fournisseur]],SuiviFrs,2,FALSE),"Vérifier la syntaxe : Fournisseur introuvable au niveau du suivi des conventions"))</f>
        <v/>
      </c>
      <c r="H115" s="7">
        <f>++IF(Tableau1[[#This Row],[Fournisseur]]="","",C115+G115-1)</f>
        <v/>
      </c>
      <c r="I115" s="8">
        <f>++IF(Tableau1[[#This Row],[Fournisseur]]="","",IF(H115-Tableau1[[#This Row],[Date Paiement Effectif]]&gt;0," ",H115-Tableau1[[#This Row],[Date Paiement Effectif]]))</f>
        <v/>
      </c>
      <c r="J115" s="9">
        <f>++IF(Tableau1[[#This Row],[Fournisseur]]="","",IF(Tableau1[[#This Row],[Date Paiement Effectif]]="","Non encore payée",IF(I115&lt;0,"Attention, paiement hors délais","OK RAS")))</f>
        <v/>
      </c>
      <c r="K115" s="54" t="n">
        <v>46083</v>
      </c>
      <c r="L115" s="54" t="n"/>
      <c r="M115" s="31" t="n"/>
    </row>
    <row r="116" ht="14.25" customHeight="1">
      <c r="B116" s="55" t="n"/>
      <c r="C116" s="25" t="n"/>
      <c r="D116" s="25" t="n"/>
      <c r="E116" s="46" t="n"/>
      <c r="F116" s="67" t="n"/>
      <c r="G116" s="2">
        <f>+IF(Tableau1[[#This Row],[Fournisseur]]="","",IFERROR(VLOOKUP(Tableau1[[#This Row],[Fournisseur]],SuiviFrs,2,FALSE),"Vérifier la syntaxe : Fournisseur introuvable au niveau du suivi des conventions"))</f>
        <v/>
      </c>
      <c r="H116" s="7">
        <f>++IF(Tableau1[[#This Row],[Fournisseur]]="","",C116+G116-1)</f>
        <v/>
      </c>
      <c r="I116" s="8">
        <f>++IF(Tableau1[[#This Row],[Fournisseur]]="","",IF(H116-Tableau1[[#This Row],[Date Paiement Effectif]]&gt;0," ",H116-Tableau1[[#This Row],[Date Paiement Effectif]]))</f>
        <v/>
      </c>
      <c r="J116" s="9">
        <f>++IF(Tableau1[[#This Row],[Fournisseur]]="","",IF(Tableau1[[#This Row],[Date Paiement Effectif]]="","Non encore payée",IF(I116&lt;0,"Attention, paiement hors délais","OK RAS")))</f>
        <v/>
      </c>
      <c r="K116" s="54" t="n">
        <v>46083</v>
      </c>
      <c r="L116" s="54" t="n"/>
      <c r="M116" s="31" t="n"/>
    </row>
    <row r="117" ht="14.25" customHeight="1">
      <c r="B117" s="55" t="n"/>
      <c r="C117" s="25" t="n"/>
      <c r="D117" s="25" t="n"/>
      <c r="E117" s="46" t="n"/>
      <c r="F117" s="67" t="n"/>
      <c r="G117" s="2">
        <f>+IF(Tableau1[[#This Row],[Fournisseur]]="","",IFERROR(VLOOKUP(Tableau1[[#This Row],[Fournisseur]],SuiviFrs,2,FALSE),"Vérifier la syntaxe : Fournisseur introuvable au niveau du suivi des conventions"))</f>
        <v/>
      </c>
      <c r="H117" s="7">
        <f>++IF(Tableau1[[#This Row],[Fournisseur]]="","",C117+G117-1)</f>
        <v/>
      </c>
      <c r="I117" s="8">
        <f>++IF(Tableau1[[#This Row],[Fournisseur]]="","",IF(H117-Tableau1[[#This Row],[Date Paiement Effectif]]&gt;0," ",H117-Tableau1[[#This Row],[Date Paiement Effectif]]))</f>
        <v/>
      </c>
      <c r="J117" s="9">
        <f>++IF(Tableau1[[#This Row],[Fournisseur]]="","",IF(Tableau1[[#This Row],[Date Paiement Effectif]]="","Non encore payée",IF(I117&lt;0,"Attention, paiement hors délais","OK RAS")))</f>
        <v/>
      </c>
      <c r="K117" s="54" t="n">
        <v>46164</v>
      </c>
      <c r="L117" s="54" t="n"/>
      <c r="M117" s="31" t="n"/>
    </row>
    <row r="118" ht="14.25" customHeight="1">
      <c r="B118" s="55" t="n"/>
      <c r="C118" s="25" t="n"/>
      <c r="D118" s="25" t="n"/>
      <c r="E118" s="46" t="n"/>
      <c r="F118" s="67" t="n"/>
      <c r="G118" s="2">
        <f>+IF(Tableau1[[#This Row],[Fournisseur]]="","",IFERROR(VLOOKUP(Tableau1[[#This Row],[Fournisseur]],SuiviFrs,2,FALSE),"Vérifier la syntaxe : Fournisseur introuvable au niveau du suivi des conventions"))</f>
        <v/>
      </c>
      <c r="H118" s="7">
        <f>++IF(Tableau1[[#This Row],[Fournisseur]]="","",C118+G118-1)</f>
        <v/>
      </c>
      <c r="I118" s="8">
        <f>++IF(Tableau1[[#This Row],[Fournisseur]]="","",IF(H118-Tableau1[[#This Row],[Date Paiement Effectif]]&gt;0," ",H118-Tableau1[[#This Row],[Date Paiement Effectif]]))</f>
        <v/>
      </c>
      <c r="J118" s="9">
        <f>++IF(Tableau1[[#This Row],[Fournisseur]]="","",IF(Tableau1[[#This Row],[Date Paiement Effectif]]="","Non encore payée",IF(I118&lt;0,"Attention, paiement hors délais","OK RAS")))</f>
        <v/>
      </c>
      <c r="K118" s="54" t="n">
        <v>46164</v>
      </c>
      <c r="L118" s="54" t="n"/>
      <c r="M118" s="31" t="n"/>
    </row>
    <row r="119" ht="14.25" customHeight="1">
      <c r="B119" s="55" t="n"/>
      <c r="C119" s="25" t="n"/>
      <c r="D119" s="25" t="n"/>
      <c r="E119" s="46" t="n"/>
      <c r="F119" s="67" t="n"/>
      <c r="G119" s="2">
        <f>+IF(Tableau1[[#This Row],[Fournisseur]]="","",IFERROR(VLOOKUP(Tableau1[[#This Row],[Fournisseur]],SuiviFrs,2,FALSE),"Vérifier la syntaxe : Fournisseur introuvable au niveau du suivi des conventions"))</f>
        <v/>
      </c>
      <c r="H119" s="7">
        <f>++IF(Tableau1[[#This Row],[Fournisseur]]="","",C119+G119-1)</f>
        <v/>
      </c>
      <c r="I119" s="8">
        <f>++IF(Tableau1[[#This Row],[Fournisseur]]="","",IF(H119-Tableau1[[#This Row],[Date Paiement Effectif]]&gt;0," ",H119-Tableau1[[#This Row],[Date Paiement Effectif]]))</f>
        <v/>
      </c>
      <c r="J119" s="9">
        <f>++IF(Tableau1[[#This Row],[Fournisseur]]="","",IF(Tableau1[[#This Row],[Date Paiement Effectif]]="","Non encore payée",IF(I119&lt;0,"Attention, paiement hors délais","OK RAS")))</f>
        <v/>
      </c>
      <c r="K119" s="54" t="n">
        <v>46164</v>
      </c>
      <c r="L119" s="54" t="n"/>
      <c r="M119" s="31" t="n"/>
    </row>
    <row r="120" ht="14.25" customHeight="1">
      <c r="B120" s="55" t="n"/>
      <c r="C120" s="25" t="n"/>
      <c r="D120" s="25" t="n"/>
      <c r="E120" s="46" t="n"/>
      <c r="F120" s="67" t="n"/>
      <c r="G120" s="2">
        <f>+IF(Tableau1[[#This Row],[Fournisseur]]="","",IFERROR(VLOOKUP(Tableau1[[#This Row],[Fournisseur]],SuiviFrs,2,FALSE),"Vérifier la syntaxe : Fournisseur introuvable au niveau du suivi des conventions"))</f>
        <v/>
      </c>
      <c r="H120" s="7">
        <f>++IF(Tableau1[[#This Row],[Fournisseur]]="","",C120+G120-1)</f>
        <v/>
      </c>
      <c r="I120" s="8">
        <f>++IF(Tableau1[[#This Row],[Fournisseur]]="","",IF(H120-Tableau1[[#This Row],[Date Paiement Effectif]]&gt;0," ",H120-Tableau1[[#This Row],[Date Paiement Effectif]]))</f>
        <v/>
      </c>
      <c r="J120" s="9">
        <f>++IF(Tableau1[[#This Row],[Fournisseur]]="","",IF(Tableau1[[#This Row],[Date Paiement Effectif]]="","Non encore payée",IF(I120&lt;0,"Attention, paiement hors délais","OK RAS")))</f>
        <v/>
      </c>
      <c r="K120" s="54" t="n">
        <v>46185</v>
      </c>
      <c r="L120" s="54" t="n"/>
      <c r="M120" s="31" t="n"/>
    </row>
    <row r="121" ht="14.25" customHeight="1">
      <c r="B121" s="55" t="n"/>
      <c r="C121" s="25" t="n"/>
      <c r="D121" s="25" t="n"/>
      <c r="E121" s="46" t="n"/>
      <c r="F121" s="67" t="n"/>
      <c r="G121" s="2">
        <f>+IF(Tableau1[[#This Row],[Fournisseur]]="","",IFERROR(VLOOKUP(Tableau1[[#This Row],[Fournisseur]],SuiviFrs,2,FALSE),"Vérifier la syntaxe : Fournisseur introuvable au niveau du suivi des conventions"))</f>
        <v/>
      </c>
      <c r="H121" s="7">
        <f>++IF(Tableau1[[#This Row],[Fournisseur]]="","",C121+G121-1)</f>
        <v/>
      </c>
      <c r="I121" s="8">
        <f>++IF(Tableau1[[#This Row],[Fournisseur]]="","",IF(H121-Tableau1[[#This Row],[Date Paiement Effectif]]&gt;0," ",H121-Tableau1[[#This Row],[Date Paiement Effectif]]))</f>
        <v/>
      </c>
      <c r="J121" s="9">
        <f>++IF(Tableau1[[#This Row],[Fournisseur]]="","",IF(Tableau1[[#This Row],[Date Paiement Effectif]]="","Non encore payée",IF(I121&lt;0,"Attention, paiement hors délais","OK RAS")))</f>
        <v/>
      </c>
      <c r="K121" s="54" t="n">
        <v>46185</v>
      </c>
      <c r="L121" s="54" t="n"/>
      <c r="M121" s="31" t="n"/>
    </row>
    <row r="122" ht="14.25" customHeight="1">
      <c r="B122" s="55" t="n"/>
      <c r="C122" s="25" t="n"/>
      <c r="D122" s="25" t="n"/>
      <c r="E122" s="46" t="n"/>
      <c r="F122" s="67" t="n"/>
      <c r="G122" s="2">
        <f>+IF(Tableau1[[#This Row],[Fournisseur]]="","",IFERROR(VLOOKUP(Tableau1[[#This Row],[Fournisseur]],SuiviFrs,2,FALSE),"Vérifier la syntaxe : Fournisseur introuvable au niveau du suivi des conventions"))</f>
        <v/>
      </c>
      <c r="H122" s="7">
        <f>++IF(Tableau1[[#This Row],[Fournisseur]]="","",C122+G122-1)</f>
        <v/>
      </c>
      <c r="I122" s="8">
        <f>++IF(Tableau1[[#This Row],[Fournisseur]]="","",IF(H122-Tableau1[[#This Row],[Date Paiement Effectif]]&gt;0," ",H122-Tableau1[[#This Row],[Date Paiement Effectif]]))</f>
        <v/>
      </c>
      <c r="J122" s="9">
        <f>++IF(Tableau1[[#This Row],[Fournisseur]]="","",IF(Tableau1[[#This Row],[Date Paiement Effectif]]="","Non encore payée",IF(I122&lt;0,"Attention, paiement hors délais","OK RAS")))</f>
        <v/>
      </c>
      <c r="K122" s="54" t="n">
        <v>46185</v>
      </c>
      <c r="L122" s="54" t="n"/>
      <c r="M122" s="31" t="n"/>
    </row>
    <row r="123" ht="14.25" customHeight="1">
      <c r="B123" s="55" t="n"/>
      <c r="C123" s="25" t="n"/>
      <c r="D123" s="25" t="n"/>
      <c r="E123" s="46" t="n"/>
      <c r="F123" s="67" t="n"/>
      <c r="G123" s="2">
        <f>+IF(Tableau1[[#This Row],[Fournisseur]]="","",IFERROR(VLOOKUP(Tableau1[[#This Row],[Fournisseur]],SuiviFrs,2,FALSE),"Vérifier la syntaxe : Fournisseur introuvable au niveau du suivi des conventions"))</f>
        <v/>
      </c>
      <c r="H123" s="7">
        <f>++IF(Tableau1[[#This Row],[Fournisseur]]="","",C123+G123-1)</f>
        <v/>
      </c>
      <c r="I123" s="8">
        <f>++IF(Tableau1[[#This Row],[Fournisseur]]="","",IF(H123-Tableau1[[#This Row],[Date Paiement Effectif]]&gt;0," ",H123-Tableau1[[#This Row],[Date Paiement Effectif]]))</f>
        <v/>
      </c>
      <c r="J123" s="9">
        <f>++IF(Tableau1[[#This Row],[Fournisseur]]="","",IF(Tableau1[[#This Row],[Date Paiement Effectif]]="","Non encore payée",IF(I123&lt;0,"Attention, paiement hors délais","OK RAS")))</f>
        <v/>
      </c>
      <c r="K123" s="54" t="n">
        <v>46185</v>
      </c>
      <c r="L123" s="54" t="n"/>
      <c r="M123" s="31" t="n"/>
    </row>
    <row r="124" ht="14.25" customHeight="1">
      <c r="B124" s="55" t="n"/>
      <c r="C124" s="25" t="n"/>
      <c r="D124" s="25" t="n"/>
      <c r="E124" s="46" t="n"/>
      <c r="F124" s="67" t="n"/>
      <c r="G124" s="2">
        <f>+IF(Tableau1[[#This Row],[Fournisseur]]="","",IFERROR(VLOOKUP(Tableau1[[#This Row],[Fournisseur]],SuiviFrs,2,FALSE),"Vérifier la syntaxe : Fournisseur introuvable au niveau du suivi des conventions"))</f>
        <v/>
      </c>
      <c r="H124" s="7">
        <f>++IF(Tableau1[[#This Row],[Fournisseur]]="","",C124+G124-1)</f>
        <v/>
      </c>
      <c r="I124" s="8">
        <f>++IF(Tableau1[[#This Row],[Fournisseur]]="","",IF(H124-Tableau1[[#This Row],[Date Paiement Effectif]]&gt;0," ",H124-Tableau1[[#This Row],[Date Paiement Effectif]]))</f>
        <v/>
      </c>
      <c r="J124" s="9">
        <f>++IF(Tableau1[[#This Row],[Fournisseur]]="","",IF(Tableau1[[#This Row],[Date Paiement Effectif]]="","Non encore payée",IF(I124&lt;0,"Attention, paiement hors délais","OK RAS")))</f>
        <v/>
      </c>
      <c r="K124" s="54" t="n">
        <v>46083</v>
      </c>
      <c r="L124" s="54" t="n"/>
      <c r="M124" s="31" t="n"/>
    </row>
    <row r="125" ht="14.25" customHeight="1">
      <c r="B125" s="55" t="n"/>
      <c r="C125" s="25" t="n"/>
      <c r="D125" s="25" t="n"/>
      <c r="E125" s="46" t="n"/>
      <c r="F125" s="67" t="n"/>
      <c r="G125" s="2">
        <f>+IF(Tableau1[[#This Row],[Fournisseur]]="","",IFERROR(VLOOKUP(Tableau1[[#This Row],[Fournisseur]],SuiviFrs,2,FALSE),"Vérifier la syntaxe : Fournisseur introuvable au niveau du suivi des conventions"))</f>
        <v/>
      </c>
      <c r="H125" s="7">
        <f>++IF(Tableau1[[#This Row],[Fournisseur]]="","",C125+G125-1)</f>
        <v/>
      </c>
      <c r="I125" s="8">
        <f>++IF(Tableau1[[#This Row],[Fournisseur]]="","",IF(H125-Tableau1[[#This Row],[Date Paiement Effectif]]&gt;0," ",H125-Tableau1[[#This Row],[Date Paiement Effectif]]))</f>
        <v/>
      </c>
      <c r="J125" s="9">
        <f>++IF(Tableau1[[#This Row],[Fournisseur]]="","",IF(Tableau1[[#This Row],[Date Paiement Effectif]]="","Non encore payée",IF(I125&lt;0,"Attention, paiement hors délais","OK RAS")))</f>
        <v/>
      </c>
      <c r="K125" s="54" t="n">
        <v>46083</v>
      </c>
      <c r="L125" s="54" t="n"/>
      <c r="M125" s="31" t="n"/>
    </row>
    <row r="126" ht="14.25" customHeight="1">
      <c r="B126" s="55" t="n"/>
      <c r="C126" s="25" t="n"/>
      <c r="D126" s="25" t="n"/>
      <c r="E126" s="46" t="n"/>
      <c r="F126" s="67" t="n"/>
      <c r="G126" s="2">
        <f>+IF(Tableau1[[#This Row],[Fournisseur]]="","",IFERROR(VLOOKUP(Tableau1[[#This Row],[Fournisseur]],SuiviFrs,2,FALSE),"Vérifier la syntaxe : Fournisseur introuvable au niveau du suivi des conventions"))</f>
        <v/>
      </c>
      <c r="H126" s="7">
        <f>++IF(Tableau1[[#This Row],[Fournisseur]]="","",C126+G126-1)</f>
        <v/>
      </c>
      <c r="I126" s="8">
        <f>++IF(Tableau1[[#This Row],[Fournisseur]]="","",IF(H126-Tableau1[[#This Row],[Date Paiement Effectif]]&gt;0," ",H126-Tableau1[[#This Row],[Date Paiement Effectif]]))</f>
        <v/>
      </c>
      <c r="J126" s="9">
        <f>++IF(Tableau1[[#This Row],[Fournisseur]]="","",IF(Tableau1[[#This Row],[Date Paiement Effectif]]="","Non encore payée",IF(I126&lt;0,"Attention, paiement hors délais","OK RAS")))</f>
        <v/>
      </c>
      <c r="K126" s="54" t="n">
        <v>46059</v>
      </c>
      <c r="L126" s="54" t="n"/>
      <c r="M126" s="31" t="n"/>
    </row>
    <row r="127" ht="14.25" customHeight="1">
      <c r="B127" s="55" t="n"/>
      <c r="C127" s="25" t="n"/>
      <c r="D127" s="25" t="n"/>
      <c r="E127" s="56" t="n"/>
      <c r="F127" s="67" t="n"/>
      <c r="G127" s="2">
        <f>+IF(Tableau1[[#This Row],[Fournisseur]]="","",IFERROR(VLOOKUP(Tableau1[[#This Row],[Fournisseur]],SuiviFrs,2,FALSE),"Vérifier la syntaxe : Fournisseur introuvable au niveau du suivi des conventions"))</f>
        <v/>
      </c>
      <c r="H127" s="7">
        <f>++IF(Tableau1[[#This Row],[Fournisseur]]="","",C127+G127-1)</f>
        <v/>
      </c>
      <c r="I127" s="8">
        <f>++IF(Tableau1[[#This Row],[Fournisseur]]="","",IF(H127-Tableau1[[#This Row],[Date Paiement Effectif]]&gt;0," ",H127-Tableau1[[#This Row],[Date Paiement Effectif]]))</f>
        <v/>
      </c>
      <c r="J127" s="9">
        <f>++IF(Tableau1[[#This Row],[Fournisseur]]="","",IF(Tableau1[[#This Row],[Date Paiement Effectif]]="","Non encore payée",IF(I127&lt;0,"Attention, paiement hors délais","OK RAS")))</f>
        <v/>
      </c>
      <c r="K127" s="54" t="n">
        <v>46059</v>
      </c>
      <c r="L127" s="54" t="n"/>
      <c r="M127" s="31" t="n"/>
    </row>
    <row r="128" ht="14.25" customHeight="1">
      <c r="B128" s="55" t="n"/>
      <c r="C128" s="25" t="n"/>
      <c r="D128" s="25" t="n"/>
      <c r="E128" s="46" t="n"/>
      <c r="F128" s="67" t="n"/>
      <c r="G128" s="2">
        <f>+IF(Tableau1[[#This Row],[Fournisseur]]="","",IFERROR(VLOOKUP(Tableau1[[#This Row],[Fournisseur]],SuiviFrs,2,FALSE),"Vérifier la syntaxe : Fournisseur introuvable au niveau du suivi des conventions"))</f>
        <v/>
      </c>
      <c r="H128" s="7">
        <f>++IF(Tableau1[[#This Row],[Fournisseur]]="","",C128+G128-1)</f>
        <v/>
      </c>
      <c r="I128" s="8">
        <f>++IF(Tableau1[[#This Row],[Fournisseur]]="","",IF(H128-Tableau1[[#This Row],[Date Paiement Effectif]]&gt;0," ",H128-Tableau1[[#This Row],[Date Paiement Effectif]]))</f>
        <v/>
      </c>
      <c r="J128" s="9">
        <f>++IF(Tableau1[[#This Row],[Fournisseur]]="","",IF(Tableau1[[#This Row],[Date Paiement Effectif]]="","Non encore payée",IF(I128&lt;0,"Attention, paiement hors délais","OK RAS")))</f>
        <v/>
      </c>
      <c r="K128" s="54" t="n">
        <v>46083</v>
      </c>
      <c r="L128" s="54" t="n"/>
      <c r="M128" s="31" t="n"/>
    </row>
    <row r="129" ht="14.25" customHeight="1">
      <c r="B129" s="55" t="n"/>
      <c r="C129" s="25" t="n"/>
      <c r="D129" s="25" t="n"/>
      <c r="E129" s="46" t="n"/>
      <c r="F129" s="67" t="n"/>
      <c r="G129" s="2">
        <f>+IF(Tableau1[[#This Row],[Fournisseur]]="","",IFERROR(VLOOKUP(Tableau1[[#This Row],[Fournisseur]],SuiviFrs,2,FALSE),"Vérifier la syntaxe : Fournisseur introuvable au niveau du suivi des conventions"))</f>
        <v/>
      </c>
      <c r="H129" s="7">
        <f>++IF(Tableau1[[#This Row],[Fournisseur]]="","",C129+G129-1)</f>
        <v/>
      </c>
      <c r="I129" s="8">
        <f>++IF(Tableau1[[#This Row],[Fournisseur]]="","",IF(H129-Tableau1[[#This Row],[Date Paiement Effectif]]&gt;0," ",H129-Tableau1[[#This Row],[Date Paiement Effectif]]))</f>
        <v/>
      </c>
      <c r="J129" s="9">
        <f>++IF(Tableau1[[#This Row],[Fournisseur]]="","",IF(Tableau1[[#This Row],[Date Paiement Effectif]]="","Non encore payée",IF(I129&lt;0,"Attention, paiement hors délais","OK RAS")))</f>
        <v/>
      </c>
      <c r="K129" s="54" t="n">
        <v>46083</v>
      </c>
      <c r="L129" s="54" t="n"/>
      <c r="M129" s="31" t="n"/>
    </row>
    <row r="130" ht="14.25" customHeight="1">
      <c r="B130" s="55" t="n"/>
      <c r="C130" s="25" t="n"/>
      <c r="D130" s="25" t="n"/>
      <c r="E130" s="46" t="n"/>
      <c r="F130" s="67" t="n"/>
      <c r="G130" s="2">
        <f>+IF(Tableau1[[#This Row],[Fournisseur]]="","",IFERROR(VLOOKUP(Tableau1[[#This Row],[Fournisseur]],SuiviFrs,2,FALSE),"Vérifier la syntaxe : Fournisseur introuvable au niveau du suivi des conventions"))</f>
        <v/>
      </c>
      <c r="H130" s="7">
        <f>++IF(Tableau1[[#This Row],[Fournisseur]]="","",C130+G130-1)</f>
        <v/>
      </c>
      <c r="I130" s="8">
        <f>++IF(Tableau1[[#This Row],[Fournisseur]]="","",IF(H130-Tableau1[[#This Row],[Date Paiement Effectif]]&gt;0," ",H130-Tableau1[[#This Row],[Date Paiement Effectif]]))</f>
        <v/>
      </c>
      <c r="J130" s="9">
        <f>++IF(Tableau1[[#This Row],[Fournisseur]]="","",IF(Tableau1[[#This Row],[Date Paiement Effectif]]="","Non encore payée",IF(I130&lt;0,"Attention, paiement hors délais","OK RAS")))</f>
        <v/>
      </c>
      <c r="K130" s="54" t="n">
        <v>46083</v>
      </c>
      <c r="L130" s="54" t="n"/>
      <c r="M130" s="31" t="n"/>
    </row>
    <row r="131" ht="14.25" customHeight="1">
      <c r="B131" s="55" t="n"/>
      <c r="C131" s="25" t="n"/>
      <c r="D131" s="25" t="n"/>
      <c r="E131" s="46" t="n"/>
      <c r="F131" s="67" t="n"/>
      <c r="G131" s="2">
        <f>+IF(Tableau1[[#This Row],[Fournisseur]]="","",IFERROR(VLOOKUP(Tableau1[[#This Row],[Fournisseur]],SuiviFrs,2,FALSE),"Vérifier la syntaxe : Fournisseur introuvable au niveau du suivi des conventions"))</f>
        <v/>
      </c>
      <c r="H131" s="7">
        <f>++IF(Tableau1[[#This Row],[Fournisseur]]="","",C131+G131-1)</f>
        <v/>
      </c>
      <c r="I131" s="8">
        <f>++IF(Tableau1[[#This Row],[Fournisseur]]="","",IF(H131-Tableau1[[#This Row],[Date Paiement Effectif]]&gt;0," ",H131-Tableau1[[#This Row],[Date Paiement Effectif]]))</f>
        <v/>
      </c>
      <c r="J131" s="9">
        <f>++IF(Tableau1[[#This Row],[Fournisseur]]="","",IF(Tableau1[[#This Row],[Date Paiement Effectif]]="","Non encore payée",IF(I131&lt;0,"Attention, paiement hors délais","OK RAS")))</f>
        <v/>
      </c>
      <c r="K131" s="54" t="n">
        <v>46045</v>
      </c>
      <c r="L131" s="54" t="n"/>
      <c r="M131" s="31" t="n"/>
    </row>
    <row r="132" ht="14.25" customHeight="1">
      <c r="B132" s="55" t="n"/>
      <c r="C132" s="25" t="n"/>
      <c r="D132" s="25" t="n"/>
      <c r="E132" s="46" t="n"/>
      <c r="F132" s="67" t="n"/>
      <c r="G132" s="2">
        <f>+IF(Tableau1[[#This Row],[Fournisseur]]="","",IFERROR(VLOOKUP(Tableau1[[#This Row],[Fournisseur]],SuiviFrs,2,FALSE),"Vérifier la syntaxe : Fournisseur introuvable au niveau du suivi des conventions"))</f>
        <v/>
      </c>
      <c r="H132" s="7">
        <f>++IF(Tableau1[[#This Row],[Fournisseur]]="","",C132+G132-1)</f>
        <v/>
      </c>
      <c r="I132" s="8">
        <f>++IF(Tableau1[[#This Row],[Fournisseur]]="","",IF(H132-Tableau1[[#This Row],[Date Paiement Effectif]]&gt;0," ",H132-Tableau1[[#This Row],[Date Paiement Effectif]]))</f>
        <v/>
      </c>
      <c r="J132" s="9">
        <f>++IF(Tableau1[[#This Row],[Fournisseur]]="","",IF(Tableau1[[#This Row],[Date Paiement Effectif]]="","Non encore payée",IF(I132&lt;0,"Attention, paiement hors délais","OK RAS")))</f>
        <v/>
      </c>
      <c r="K132" s="54" t="n">
        <v>46057</v>
      </c>
      <c r="L132" s="54" t="n"/>
      <c r="M132" s="31" t="n"/>
    </row>
    <row r="133" ht="14.25" customHeight="1">
      <c r="B133" s="55" t="n"/>
      <c r="C133" s="25" t="n"/>
      <c r="D133" s="25" t="n"/>
      <c r="E133" s="46" t="n"/>
      <c r="F133" s="67" t="n"/>
      <c r="G133" s="2">
        <f>+IF(Tableau1[[#This Row],[Fournisseur]]="","",IFERROR(VLOOKUP(Tableau1[[#This Row],[Fournisseur]],SuiviFrs,2,FALSE),"Vérifier la syntaxe : Fournisseur introuvable au niveau du suivi des conventions"))</f>
        <v/>
      </c>
      <c r="H133" s="7">
        <f>++IF(Tableau1[[#This Row],[Fournisseur]]="","",C133+G133-1)</f>
        <v/>
      </c>
      <c r="I133" s="8">
        <f>++IF(Tableau1[[#This Row],[Fournisseur]]="","",IF(H133-Tableau1[[#This Row],[Date Paiement Effectif]]&gt;0," ",H133-Tableau1[[#This Row],[Date Paiement Effectif]]))</f>
        <v/>
      </c>
      <c r="J133" s="9">
        <f>++IF(Tableau1[[#This Row],[Fournisseur]]="","",IF(Tableau1[[#This Row],[Date Paiement Effectif]]="","Non encore payée",IF(I133&lt;0,"Attention, paiement hors délais","OK RAS")))</f>
        <v/>
      </c>
      <c r="K133" s="54" t="n">
        <v>46059</v>
      </c>
      <c r="L133" s="54" t="n"/>
      <c r="M133" s="31" t="n"/>
    </row>
    <row r="134" ht="14.25" customHeight="1">
      <c r="B134" s="55" t="n"/>
      <c r="C134" s="25" t="n"/>
      <c r="D134" s="25" t="n"/>
      <c r="E134" s="46" t="n"/>
      <c r="F134" s="67" t="n"/>
      <c r="G134" s="2">
        <f>+IF(Tableau1[[#This Row],[Fournisseur]]="","",IFERROR(VLOOKUP(Tableau1[[#This Row],[Fournisseur]],SuiviFrs,2,FALSE),"Vérifier la syntaxe : Fournisseur introuvable au niveau du suivi des conventions"))</f>
        <v/>
      </c>
      <c r="H134" s="7">
        <f>++IF(Tableau1[[#This Row],[Fournisseur]]="","",C134+G134-1)</f>
        <v/>
      </c>
      <c r="I134" s="8">
        <f>++IF(Tableau1[[#This Row],[Fournisseur]]="","",IF(H134-Tableau1[[#This Row],[Date Paiement Effectif]]&gt;0," ",H134-Tableau1[[#This Row],[Date Paiement Effectif]]))</f>
        <v/>
      </c>
      <c r="J134" s="9">
        <f>++IF(Tableau1[[#This Row],[Fournisseur]]="","",IF(Tableau1[[#This Row],[Date Paiement Effectif]]="","Non encore payée",IF(I134&lt;0,"Attention, paiement hors délais","OK RAS")))</f>
        <v/>
      </c>
      <c r="K134" s="54" t="n">
        <v>46060</v>
      </c>
      <c r="L134" s="54" t="n"/>
      <c r="M134" s="31" t="n"/>
    </row>
    <row r="135" ht="14.25" customHeight="1">
      <c r="B135" s="55" t="n"/>
      <c r="C135" s="25" t="n"/>
      <c r="D135" s="25" t="n"/>
      <c r="E135" s="46" t="n"/>
      <c r="F135" s="67" t="n"/>
      <c r="G135" s="2">
        <f>+IF(Tableau1[[#This Row],[Fournisseur]]="","",IFERROR(VLOOKUP(Tableau1[[#This Row],[Fournisseur]],SuiviFrs,2,FALSE),"Vérifier la syntaxe : Fournisseur introuvable au niveau du suivi des conventions"))</f>
        <v/>
      </c>
      <c r="H135" s="7">
        <f>++IF(Tableau1[[#This Row],[Fournisseur]]="","",C135+G135-1)</f>
        <v/>
      </c>
      <c r="I135" s="8">
        <f>++IF(Tableau1[[#This Row],[Fournisseur]]="","",IF(H135-Tableau1[[#This Row],[Date Paiement Effectif]]&gt;0," ",H135-Tableau1[[#This Row],[Date Paiement Effectif]]))</f>
        <v/>
      </c>
      <c r="J135" s="9">
        <f>++IF(Tableau1[[#This Row],[Fournisseur]]="","",IF(Tableau1[[#This Row],[Date Paiement Effectif]]="","Non encore payée",IF(I135&lt;0,"Attention, paiement hors délais","OK RAS")))</f>
        <v/>
      </c>
      <c r="K135" s="54" t="n">
        <v>46088</v>
      </c>
      <c r="L135" s="54" t="n"/>
      <c r="M135" s="31" t="n"/>
    </row>
    <row r="136" ht="14.25" customHeight="1">
      <c r="B136" s="55" t="n"/>
      <c r="C136" s="25" t="n"/>
      <c r="D136" s="25" t="n"/>
      <c r="E136" s="46" t="n"/>
      <c r="F136" s="67" t="n"/>
      <c r="G136" s="2">
        <f>+IF(Tableau1[[#This Row],[Fournisseur]]="","",IFERROR(VLOOKUP(Tableau1[[#This Row],[Fournisseur]],SuiviFrs,2,FALSE),"Vérifier la syntaxe : Fournisseur introuvable au niveau du suivi des conventions"))</f>
        <v/>
      </c>
      <c r="H136" s="7">
        <f>++IF(Tableau1[[#This Row],[Fournisseur]]="","",C136+G136-1)</f>
        <v/>
      </c>
      <c r="I136" s="8">
        <f>++IF(Tableau1[[#This Row],[Fournisseur]]="","",IF(H136-Tableau1[[#This Row],[Date Paiement Effectif]]&gt;0," ",H136-Tableau1[[#This Row],[Date Paiement Effectif]]))</f>
        <v/>
      </c>
      <c r="J136" s="9">
        <f>++IF(Tableau1[[#This Row],[Fournisseur]]="","",IF(Tableau1[[#This Row],[Date Paiement Effectif]]="","Non encore payée",IF(I136&lt;0,"Attention, paiement hors délais","OK RAS")))</f>
        <v/>
      </c>
      <c r="K136" s="54" t="n">
        <v>46029</v>
      </c>
      <c r="L136" s="54" t="n"/>
      <c r="M136" s="31" t="n"/>
    </row>
    <row r="137" ht="14.25" customHeight="1">
      <c r="B137" s="55" t="n"/>
      <c r="C137" s="25" t="n"/>
      <c r="D137" s="25" t="n"/>
      <c r="E137" s="46" t="n"/>
      <c r="F137" s="67" t="n"/>
      <c r="G137" s="2">
        <f>+IF(Tableau1[[#This Row],[Fournisseur]]="","",IFERROR(VLOOKUP(Tableau1[[#This Row],[Fournisseur]],SuiviFrs,2,FALSE),"Vérifier la syntaxe : Fournisseur introuvable au niveau du suivi des conventions"))</f>
        <v/>
      </c>
      <c r="H137" s="7">
        <f>++IF(Tableau1[[#This Row],[Fournisseur]]="","",C137+G137-1)</f>
        <v/>
      </c>
      <c r="I137" s="8">
        <f>++IF(Tableau1[[#This Row],[Fournisseur]]="","",IF(H137-Tableau1[[#This Row],[Date Paiement Effectif]]&gt;0," ",H137-Tableau1[[#This Row],[Date Paiement Effectif]]))</f>
        <v/>
      </c>
      <c r="J137" s="9">
        <f>++IF(Tableau1[[#This Row],[Fournisseur]]="","",IF(Tableau1[[#This Row],[Date Paiement Effectif]]="","Non encore payée",IF(I137&lt;0,"Attention, paiement hors délais","OK RAS")))</f>
        <v/>
      </c>
      <c r="K137" s="54" t="n">
        <v>46037</v>
      </c>
      <c r="L137" s="54" t="n"/>
      <c r="M137" s="31" t="n"/>
    </row>
    <row r="138" ht="14.25" customHeight="1">
      <c r="B138" s="55" t="n"/>
      <c r="C138" s="25" t="n"/>
      <c r="D138" s="25" t="n"/>
      <c r="E138" s="46" t="n"/>
      <c r="F138" s="67" t="n"/>
      <c r="G138" s="2">
        <f>+IF(Tableau1[[#This Row],[Fournisseur]]="","",IFERROR(VLOOKUP(Tableau1[[#This Row],[Fournisseur]],SuiviFrs,2,FALSE),"Vérifier la syntaxe : Fournisseur introuvable au niveau du suivi des conventions"))</f>
        <v/>
      </c>
      <c r="H138" s="7">
        <f>++IF(Tableau1[[#This Row],[Fournisseur]]="","",C138+G138-1)</f>
        <v/>
      </c>
      <c r="I138" s="8">
        <f>++IF(Tableau1[[#This Row],[Fournisseur]]="","",IF(H138-Tableau1[[#This Row],[Date Paiement Effectif]]&gt;0," ",H138-Tableau1[[#This Row],[Date Paiement Effectif]]))</f>
        <v/>
      </c>
      <c r="J138" s="9">
        <f>++IF(Tableau1[[#This Row],[Fournisseur]]="","",IF(Tableau1[[#This Row],[Date Paiement Effectif]]="","Non encore payée",IF(I138&lt;0,"Attention, paiement hors délais","OK RAS")))</f>
        <v/>
      </c>
      <c r="K138" s="54" t="n">
        <v>46057</v>
      </c>
      <c r="L138" s="54" t="n"/>
      <c r="M138" s="31" t="n"/>
    </row>
    <row r="139" ht="14.25" customHeight="1">
      <c r="B139" s="59" t="n"/>
      <c r="C139" s="25" t="n"/>
      <c r="D139" s="25" t="n"/>
      <c r="E139" s="46" t="n"/>
      <c r="F139" s="67" t="n"/>
      <c r="G139" s="2">
        <f>+IF(Tableau1[[#This Row],[Fournisseur]]="","",IFERROR(VLOOKUP(Tableau1[[#This Row],[Fournisseur]],SuiviFrs,2,FALSE),"Vérifier la syntaxe : Fournisseur introuvable au niveau du suivi des conventions"))</f>
        <v/>
      </c>
      <c r="H139" s="7">
        <f>++IF(Tableau1[[#This Row],[Fournisseur]]="","",C139+G139-1)</f>
        <v/>
      </c>
      <c r="I139" s="8">
        <f>++IF(Tableau1[[#This Row],[Fournisseur]]="","",IF(H139-Tableau1[[#This Row],[Date Paiement Effectif]]&gt;0," ",H139-Tableau1[[#This Row],[Date Paiement Effectif]]))</f>
        <v/>
      </c>
      <c r="J139" s="9">
        <f>++IF(Tableau1[[#This Row],[Fournisseur]]="","",IF(Tableau1[[#This Row],[Date Paiement Effectif]]="","Non encore payée",IF(I139&lt;0,"Attention, paiement hors délais","OK RAS")))</f>
        <v/>
      </c>
      <c r="K139" s="54" t="n">
        <v>46043</v>
      </c>
      <c r="L139" s="54" t="n"/>
      <c r="M139" s="31" t="n"/>
    </row>
    <row r="140" ht="14.25" customHeight="1">
      <c r="B140" s="59" t="n"/>
      <c r="C140" s="25" t="n"/>
      <c r="D140" s="25" t="n"/>
      <c r="E140" s="46" t="n"/>
      <c r="F140" s="67" t="n"/>
      <c r="G140" s="2">
        <f>+IF(Tableau1[[#This Row],[Fournisseur]]="","",IFERROR(VLOOKUP(Tableau1[[#This Row],[Fournisseur]],SuiviFrs,2,FALSE),"Vérifier la syntaxe : Fournisseur introuvable au niveau du suivi des conventions"))</f>
        <v/>
      </c>
      <c r="H140" s="7">
        <f>++IF(Tableau1[[#This Row],[Fournisseur]]="","",C140+G140-1)</f>
        <v/>
      </c>
      <c r="I140" s="8">
        <f>++IF(Tableau1[[#This Row],[Fournisseur]]="","",IF(H140-Tableau1[[#This Row],[Date Paiement Effectif]]&gt;0," ",H140-Tableau1[[#This Row],[Date Paiement Effectif]]))</f>
        <v/>
      </c>
      <c r="J140" s="9">
        <f>++IF(Tableau1[[#This Row],[Fournisseur]]="","",IF(Tableau1[[#This Row],[Date Paiement Effectif]]="","Non encore payée",IF(I140&lt;0,"Attention, paiement hors délais","OK RAS")))</f>
        <v/>
      </c>
      <c r="K140" s="54" t="n">
        <v>46083</v>
      </c>
      <c r="L140" s="54" t="n"/>
      <c r="M140" s="31" t="n"/>
    </row>
    <row r="141" ht="14.25" customHeight="1">
      <c r="B141" s="59" t="n"/>
      <c r="C141" s="25" t="n"/>
      <c r="D141" s="25" t="n"/>
      <c r="E141" s="46" t="n"/>
      <c r="F141" s="67" t="n"/>
      <c r="G141" s="2">
        <f>+IF(Tableau1[[#This Row],[Fournisseur]]="","",IFERROR(VLOOKUP(Tableau1[[#This Row],[Fournisseur]],SuiviFrs,2,FALSE),"Vérifier la syntaxe : Fournisseur introuvable au niveau du suivi des conventions"))</f>
        <v/>
      </c>
      <c r="H141" s="7">
        <f>++IF(Tableau1[[#This Row],[Fournisseur]]="","",C141+G141-1)</f>
        <v/>
      </c>
      <c r="I141" s="8">
        <f>++IF(Tableau1[[#This Row],[Fournisseur]]="","",IF(H141-Tableau1[[#This Row],[Date Paiement Effectif]]&gt;0," ",H141-Tableau1[[#This Row],[Date Paiement Effectif]]))</f>
        <v/>
      </c>
      <c r="J141" s="9">
        <f>++IF(Tableau1[[#This Row],[Fournisseur]]="","",IF(Tableau1[[#This Row],[Date Paiement Effectif]]="","Non encore payée",IF(I141&lt;0,"Attention, paiement hors délais","OK RAS")))</f>
        <v/>
      </c>
      <c r="K141" s="54" t="n">
        <v>46059</v>
      </c>
      <c r="L141" s="54" t="n"/>
      <c r="M141" s="31" t="n"/>
    </row>
    <row r="142" ht="14.25" customHeight="1">
      <c r="B142" s="59" t="n"/>
      <c r="C142" s="25" t="n"/>
      <c r="D142" s="25" t="n"/>
      <c r="E142" s="46" t="n"/>
      <c r="F142" s="67" t="n"/>
      <c r="G142" s="2">
        <f>+IF(Tableau1[[#This Row],[Fournisseur]]="","",IFERROR(VLOOKUP(Tableau1[[#This Row],[Fournisseur]],SuiviFrs,2,FALSE),"Vérifier la syntaxe : Fournisseur introuvable au niveau du suivi des conventions"))</f>
        <v/>
      </c>
      <c r="H142" s="7">
        <f>++IF(Tableau1[[#This Row],[Fournisseur]]="","",C142+G142-1)</f>
        <v/>
      </c>
      <c r="I142" s="8">
        <f>++IF(Tableau1[[#This Row],[Fournisseur]]="","",IF(H142-Tableau1[[#This Row],[Date Paiement Effectif]]&gt;0," ",H142-Tableau1[[#This Row],[Date Paiement Effectif]]))</f>
        <v/>
      </c>
      <c r="J142" s="9">
        <f>++IF(Tableau1[[#This Row],[Fournisseur]]="","",IF(Tableau1[[#This Row],[Date Paiement Effectif]]="","Non encore payée",IF(I142&lt;0,"Attention, paiement hors délais","OK RAS")))</f>
        <v/>
      </c>
      <c r="K142" s="54" t="n">
        <v>46059</v>
      </c>
      <c r="L142" s="54" t="n"/>
      <c r="M142" s="31" t="n"/>
    </row>
    <row r="143" ht="14.25" customHeight="1">
      <c r="B143" s="59" t="n"/>
      <c r="C143" s="25" t="n"/>
      <c r="D143" s="25" t="n"/>
      <c r="E143" s="46" t="n"/>
      <c r="F143" s="67" t="n"/>
      <c r="G143" s="2">
        <f>+IF(Tableau1[[#This Row],[Fournisseur]]="","",IFERROR(VLOOKUP(Tableau1[[#This Row],[Fournisseur]],SuiviFrs,2,FALSE),"Vérifier la syntaxe : Fournisseur introuvable au niveau du suivi des conventions"))</f>
        <v/>
      </c>
      <c r="H143" s="7">
        <f>++IF(Tableau1[[#This Row],[Fournisseur]]="","",C143+G143-1)</f>
        <v/>
      </c>
      <c r="I143" s="8">
        <f>++IF(Tableau1[[#This Row],[Fournisseur]]="","",IF(H143-Tableau1[[#This Row],[Date Paiement Effectif]]&gt;0," ",H143-Tableau1[[#This Row],[Date Paiement Effectif]]))</f>
        <v/>
      </c>
      <c r="J143" s="9">
        <f>++IF(Tableau1[[#This Row],[Fournisseur]]="","",IF(Tableau1[[#This Row],[Date Paiement Effectif]]="","Non encore payée",IF(I143&lt;0,"Attention, paiement hors délais","OK RAS")))</f>
        <v/>
      </c>
      <c r="K143" s="54" t="n">
        <v>46107</v>
      </c>
      <c r="L143" s="54" t="n"/>
      <c r="M143" s="31" t="n"/>
    </row>
    <row r="144" ht="14.25" customHeight="1">
      <c r="B144" s="59" t="n"/>
      <c r="C144" s="25" t="n"/>
      <c r="D144" s="25" t="n"/>
      <c r="E144" s="46" t="n"/>
      <c r="F144" s="67" t="n"/>
      <c r="G144" s="2">
        <f>+IF(Tableau1[[#This Row],[Fournisseur]]="","",IFERROR(VLOOKUP(Tableau1[[#This Row],[Fournisseur]],SuiviFrs,2,FALSE),"Vérifier la syntaxe : Fournisseur introuvable au niveau du suivi des conventions"))</f>
        <v/>
      </c>
      <c r="H144" s="7">
        <f>++IF(Tableau1[[#This Row],[Fournisseur]]="","",C144+G144-1)</f>
        <v/>
      </c>
      <c r="I144" s="8">
        <f>++IF(Tableau1[[#This Row],[Fournisseur]]="","",IF(H144-Tableau1[[#This Row],[Date Paiement Effectif]]&gt;0," ",H144-Tableau1[[#This Row],[Date Paiement Effectif]]))</f>
        <v/>
      </c>
      <c r="J144" s="9">
        <f>++IF(Tableau1[[#This Row],[Fournisseur]]="","",IF(Tableau1[[#This Row],[Date Paiement Effectif]]="","Non encore payée",IF(I144&lt;0,"Attention, paiement hors délais","OK RAS")))</f>
        <v/>
      </c>
      <c r="K144" s="54" t="n">
        <v>46107</v>
      </c>
      <c r="L144" s="54" t="n"/>
      <c r="M144" s="31" t="n"/>
    </row>
    <row r="145" ht="14.25" customHeight="1">
      <c r="B145" s="55" t="n"/>
      <c r="C145" s="25" t="n"/>
      <c r="D145" s="25" t="n"/>
      <c r="E145" s="46" t="n"/>
      <c r="F145" s="67" t="n"/>
      <c r="G145" s="2">
        <f>+IF(Tableau1[[#This Row],[Fournisseur]]="","",IFERROR(VLOOKUP(Tableau1[[#This Row],[Fournisseur]],SuiviFrs,2,FALSE),"Vérifier la syntaxe : Fournisseur introuvable au niveau du suivi des conventions"))</f>
        <v/>
      </c>
      <c r="H145" s="7">
        <f>++IF(Tableau1[[#This Row],[Fournisseur]]="","",C145+G145-1)</f>
        <v/>
      </c>
      <c r="I145" s="8">
        <f>++IF(Tableau1[[#This Row],[Fournisseur]]="","",IF(H145-Tableau1[[#This Row],[Date Paiement Effectif]]&gt;0," ",H145-Tableau1[[#This Row],[Date Paiement Effectif]]))</f>
        <v/>
      </c>
      <c r="J145" s="9">
        <f>++IF(Tableau1[[#This Row],[Fournisseur]]="","",IF(Tableau1[[#This Row],[Date Paiement Effectif]]="","Non encore payée",IF(I145&lt;0,"Attention, paiement hors délais","OK RAS")))</f>
        <v/>
      </c>
      <c r="K145" s="54" t="n">
        <v>46086</v>
      </c>
      <c r="L145" s="54" t="n"/>
      <c r="M145" s="31" t="n"/>
    </row>
    <row r="146" ht="14.25" customHeight="1">
      <c r="B146" s="55" t="n"/>
      <c r="C146" s="25" t="n"/>
      <c r="D146" s="25" t="n"/>
      <c r="E146" s="46" t="n"/>
      <c r="F146" s="67" t="n"/>
      <c r="G146" s="2">
        <f>+IF(Tableau1[[#This Row],[Fournisseur]]="","",IFERROR(VLOOKUP(Tableau1[[#This Row],[Fournisseur]],SuiviFrs,2,FALSE),"Vérifier la syntaxe : Fournisseur introuvable au niveau du suivi des conventions"))</f>
        <v/>
      </c>
      <c r="H146" s="7">
        <f>++IF(Tableau1[[#This Row],[Fournisseur]]="","",C146+G146-1)</f>
        <v/>
      </c>
      <c r="I146" s="8">
        <f>++IF(Tableau1[[#This Row],[Fournisseur]]="","",IF(H146-Tableau1[[#This Row],[Date Paiement Effectif]]&gt;0," ",H146-Tableau1[[#This Row],[Date Paiement Effectif]]))</f>
        <v/>
      </c>
      <c r="J146" s="9">
        <f>++IF(Tableau1[[#This Row],[Fournisseur]]="","",IF(Tableau1[[#This Row],[Date Paiement Effectif]]="","Non encore payée",IF(I146&lt;0,"Attention, paiement hors délais","OK RAS")))</f>
        <v/>
      </c>
      <c r="K146" s="54" t="n">
        <v>46143</v>
      </c>
      <c r="L146" s="54" t="n"/>
      <c r="M146" s="31" t="n"/>
    </row>
    <row r="147" ht="14.25" customHeight="1">
      <c r="B147" s="55" t="n"/>
      <c r="C147" s="25" t="n"/>
      <c r="D147" s="25" t="n"/>
      <c r="E147" s="26" t="n"/>
      <c r="F147" s="67" t="n"/>
      <c r="G147" s="2">
        <f>+IF(Tableau1[[#This Row],[Fournisseur]]="","",IFERROR(VLOOKUP(Tableau1[[#This Row],[Fournisseur]],SuiviFrs,2,FALSE),"Vérifier la syntaxe : Fournisseur introuvable au niveau du suivi des conventions"))</f>
        <v/>
      </c>
      <c r="H147" s="7">
        <f>++IF(Tableau1[[#This Row],[Fournisseur]]="","",C147+G147-1)</f>
        <v/>
      </c>
      <c r="I147" s="8">
        <f>++IF(Tableau1[[#This Row],[Fournisseur]]="","",IF(H147-Tableau1[[#This Row],[Date Paiement Effectif]]&gt;0," ",H147-Tableau1[[#This Row],[Date Paiement Effectif]]))</f>
        <v/>
      </c>
      <c r="J147" s="9">
        <f>++IF(Tableau1[[#This Row],[Fournisseur]]="","",IF(Tableau1[[#This Row],[Date Paiement Effectif]]="","Non encore payée",IF(I147&lt;0,"Attention, paiement hors délais","OK RAS")))</f>
        <v/>
      </c>
      <c r="K147" s="54" t="n">
        <v>46143</v>
      </c>
      <c r="L147" s="54" t="n"/>
      <c r="M147" s="31" t="n"/>
    </row>
    <row r="148" ht="14.25" customHeight="1">
      <c r="B148" s="55" t="n"/>
      <c r="C148" s="25" t="n"/>
      <c r="D148" s="25" t="n"/>
      <c r="E148" s="26" t="n"/>
      <c r="F148" s="67" t="n"/>
      <c r="G148" s="2">
        <f>+IF(Tableau1[[#This Row],[Fournisseur]]="","",IFERROR(VLOOKUP(Tableau1[[#This Row],[Fournisseur]],SuiviFrs,2,FALSE),"Vérifier la syntaxe : Fournisseur introuvable au niveau du suivi des conventions"))</f>
        <v/>
      </c>
      <c r="H148" s="7">
        <f>++IF(Tableau1[[#This Row],[Fournisseur]]="","",C148+G148-1)</f>
        <v/>
      </c>
      <c r="I148" s="8">
        <f>++IF(Tableau1[[#This Row],[Fournisseur]]="","",IF(H148-Tableau1[[#This Row],[Date Paiement Effectif]]&gt;0," ",H148-Tableau1[[#This Row],[Date Paiement Effectif]]))</f>
        <v/>
      </c>
      <c r="J148" s="9">
        <f>++IF(Tableau1[[#This Row],[Fournisseur]]="","",IF(Tableau1[[#This Row],[Date Paiement Effectif]]="","Non encore payée",IF(I148&lt;0,"Attention, paiement hors délais","OK RAS")))</f>
        <v/>
      </c>
      <c r="K148" s="54" t="n">
        <v>46165</v>
      </c>
      <c r="L148" s="54" t="n"/>
      <c r="M148" s="31" t="n"/>
    </row>
    <row r="149" ht="14.25" customHeight="1">
      <c r="B149" s="55" t="n"/>
      <c r="C149" s="25" t="n"/>
      <c r="D149" s="25" t="n"/>
      <c r="E149" s="26" t="n"/>
      <c r="F149" s="67" t="n"/>
      <c r="G149" s="2">
        <f>+IF(Tableau1[[#This Row],[Fournisseur]]="","",IFERROR(VLOOKUP(Tableau1[[#This Row],[Fournisseur]],SuiviFrs,2,FALSE),"Vérifier la syntaxe : Fournisseur introuvable au niveau du suivi des conventions"))</f>
        <v/>
      </c>
      <c r="H149" s="7">
        <f>++IF(Tableau1[[#This Row],[Fournisseur]]="","",C149+G149-1)</f>
        <v/>
      </c>
      <c r="I149" s="8">
        <f>++IF(Tableau1[[#This Row],[Fournisseur]]="","",IF(H149-Tableau1[[#This Row],[Date Paiement Effectif]]&gt;0," ",H149-Tableau1[[#This Row],[Date Paiement Effectif]]))</f>
        <v/>
      </c>
      <c r="J149" s="9">
        <f>++IF(Tableau1[[#This Row],[Fournisseur]]="","",IF(Tableau1[[#This Row],[Date Paiement Effectif]]="","Non encore payée",IF(I149&lt;0,"Attention, paiement hors délais","OK RAS")))</f>
        <v/>
      </c>
      <c r="K149" s="54" t="n">
        <v>46165</v>
      </c>
      <c r="L149" s="54" t="n"/>
      <c r="M149" s="31" t="n"/>
    </row>
    <row r="150" ht="14.25" customHeight="1">
      <c r="B150" s="55" t="n"/>
      <c r="C150" s="25" t="n"/>
      <c r="D150" s="25" t="n"/>
      <c r="E150" s="26" t="n"/>
      <c r="F150" s="67" t="n"/>
      <c r="G150" s="2">
        <f>+IF(Tableau1[[#This Row],[Fournisseur]]="","",IFERROR(VLOOKUP(Tableau1[[#This Row],[Fournisseur]],SuiviFrs,2,FALSE),"Vérifier la syntaxe : Fournisseur introuvable au niveau du suivi des conventions"))</f>
        <v/>
      </c>
      <c r="H150" s="7">
        <f>++IF(Tableau1[[#This Row],[Fournisseur]]="","",C150+G150-1)</f>
        <v/>
      </c>
      <c r="I150" s="8">
        <f>++IF(Tableau1[[#This Row],[Fournisseur]]="","",IF(H150-Tableau1[[#This Row],[Date Paiement Effectif]]&gt;0," ",H150-Tableau1[[#This Row],[Date Paiement Effectif]]))</f>
        <v/>
      </c>
      <c r="J150" s="9">
        <f>++IF(Tableau1[[#This Row],[Fournisseur]]="","",IF(Tableau1[[#This Row],[Date Paiement Effectif]]="","Non encore payée",IF(I150&lt;0,"Attention, paiement hors délais","OK RAS")))</f>
        <v/>
      </c>
      <c r="K150" s="54" t="n">
        <v>46165</v>
      </c>
      <c r="L150" s="54" t="n"/>
      <c r="M150" s="31" t="n"/>
    </row>
    <row r="151" ht="14.25" customHeight="1">
      <c r="B151" s="55" t="n"/>
      <c r="C151" s="25" t="n"/>
      <c r="D151" s="25" t="n"/>
      <c r="E151" s="26" t="n"/>
      <c r="F151" s="67" t="n"/>
      <c r="G151" s="2">
        <f>+IF(Tableau1[[#This Row],[Fournisseur]]="","",IFERROR(VLOOKUP(Tableau1[[#This Row],[Fournisseur]],SuiviFrs,2,FALSE),"Vérifier la syntaxe : Fournisseur introuvable au niveau du suivi des conventions"))</f>
        <v/>
      </c>
      <c r="H151" s="7">
        <f>++IF(Tableau1[[#This Row],[Fournisseur]]="","",C151+G151-1)</f>
        <v/>
      </c>
      <c r="I151" s="8">
        <f>++IF(Tableau1[[#This Row],[Fournisseur]]="","",IF(H151-Tableau1[[#This Row],[Date Paiement Effectif]]&gt;0," ",H151-Tableau1[[#This Row],[Date Paiement Effectif]]))</f>
        <v/>
      </c>
      <c r="J151" s="9">
        <f>++IF(Tableau1[[#This Row],[Fournisseur]]="","",IF(Tableau1[[#This Row],[Date Paiement Effectif]]="","Non encore payée",IF(I151&lt;0,"Attention, paiement hors délais","OK RAS")))</f>
        <v/>
      </c>
      <c r="K151" s="54" t="n">
        <v>46165</v>
      </c>
      <c r="L151" s="54" t="n"/>
      <c r="M151" s="31" t="n"/>
    </row>
    <row r="152" ht="14.25" customHeight="1">
      <c r="B152" s="55" t="n"/>
      <c r="C152" s="25" t="n"/>
      <c r="D152" s="25" t="n"/>
      <c r="E152" s="26" t="n"/>
      <c r="F152" s="67" t="n"/>
      <c r="G152" s="2">
        <f>+IF(Tableau1[[#This Row],[Fournisseur]]="","",IFERROR(VLOOKUP(Tableau1[[#This Row],[Fournisseur]],SuiviFrs,2,FALSE),"Vérifier la syntaxe : Fournisseur introuvable au niveau du suivi des conventions"))</f>
        <v/>
      </c>
      <c r="H152" s="7">
        <f>++IF(Tableau1[[#This Row],[Fournisseur]]="","",C152+G152-1)</f>
        <v/>
      </c>
      <c r="I152" s="8">
        <f>++IF(Tableau1[[#This Row],[Fournisseur]]="","",IF(H152-Tableau1[[#This Row],[Date Paiement Effectif]]&gt;0," ",H152-Tableau1[[#This Row],[Date Paiement Effectif]]))</f>
        <v/>
      </c>
      <c r="J152" s="9">
        <f>++IF(Tableau1[[#This Row],[Fournisseur]]="","",IF(Tableau1[[#This Row],[Date Paiement Effectif]]="","Non encore payée",IF(I152&lt;0,"Attention, paiement hors délais","OK RAS")))</f>
        <v/>
      </c>
      <c r="K152" s="54" t="n">
        <v>46165</v>
      </c>
      <c r="L152" s="54" t="n"/>
      <c r="M152" s="31" t="n"/>
    </row>
    <row r="153" ht="14.25" customHeight="1">
      <c r="B153" s="55" t="n"/>
      <c r="C153" s="25" t="n"/>
      <c r="D153" s="25" t="n"/>
      <c r="E153" s="26" t="n"/>
      <c r="F153" s="67" t="n"/>
      <c r="G153" s="2">
        <f>+IF(Tableau1[[#This Row],[Fournisseur]]="","",IFERROR(VLOOKUP(Tableau1[[#This Row],[Fournisseur]],SuiviFrs,2,FALSE),"Vérifier la syntaxe : Fournisseur introuvable au niveau du suivi des conventions"))</f>
        <v/>
      </c>
      <c r="H153" s="7">
        <f>++IF(Tableau1[[#This Row],[Fournisseur]]="","",C153+G153-1)</f>
        <v/>
      </c>
      <c r="I153" s="8">
        <f>++IF(Tableau1[[#This Row],[Fournisseur]]="","",IF(H153-Tableau1[[#This Row],[Date Paiement Effectif]]&gt;0," ",H153-Tableau1[[#This Row],[Date Paiement Effectif]]))</f>
        <v/>
      </c>
      <c r="J153" s="9">
        <f>++IF(Tableau1[[#This Row],[Fournisseur]]="","",IF(Tableau1[[#This Row],[Date Paiement Effectif]]="","Non encore payée",IF(I153&lt;0,"Attention, paiement hors délais","OK RAS")))</f>
        <v/>
      </c>
      <c r="K153" s="54" t="n">
        <v>46165</v>
      </c>
      <c r="L153" s="54" t="n"/>
      <c r="M153" s="31" t="n"/>
    </row>
    <row r="154" ht="14.25" customHeight="1">
      <c r="B154" s="55" t="n"/>
      <c r="C154" s="25" t="n"/>
      <c r="D154" s="25" t="n"/>
      <c r="E154" s="26" t="n"/>
      <c r="F154" s="67" t="n"/>
      <c r="G154" s="2">
        <f>+IF(Tableau1[[#This Row],[Fournisseur]]="","",IFERROR(VLOOKUP(Tableau1[[#This Row],[Fournisseur]],SuiviFrs,2,FALSE),"Vérifier la syntaxe : Fournisseur introuvable au niveau du suivi des conventions"))</f>
        <v/>
      </c>
      <c r="H154" s="7">
        <f>++IF(Tableau1[[#This Row],[Fournisseur]]="","",C154+G154-1)</f>
        <v/>
      </c>
      <c r="I154" s="8">
        <f>++IF(Tableau1[[#This Row],[Fournisseur]]="","",IF(H154-Tableau1[[#This Row],[Date Paiement Effectif]]&gt;0," ",H154-Tableau1[[#This Row],[Date Paiement Effectif]]))</f>
        <v/>
      </c>
      <c r="J154" s="9">
        <f>++IF(Tableau1[[#This Row],[Fournisseur]]="","",IF(Tableau1[[#This Row],[Date Paiement Effectif]]="","Non encore payée",IF(I154&lt;0,"Attention, paiement hors délais","OK RAS")))</f>
        <v/>
      </c>
      <c r="K154" s="54" t="n">
        <v>46184</v>
      </c>
      <c r="L154" s="54" t="n"/>
      <c r="M154" s="31" t="n"/>
    </row>
    <row r="155" ht="14.25" customHeight="1">
      <c r="B155" s="55" t="n"/>
      <c r="C155" s="25" t="n"/>
      <c r="D155" s="25" t="n"/>
      <c r="E155" s="26" t="n"/>
      <c r="F155" s="67" t="n"/>
      <c r="G155" s="2">
        <f>+IF(Tableau1[[#This Row],[Fournisseur]]="","",IFERROR(VLOOKUP(Tableau1[[#This Row],[Fournisseur]],SuiviFrs,2,FALSE),"Vérifier la syntaxe : Fournisseur introuvable au niveau du suivi des conventions"))</f>
        <v/>
      </c>
      <c r="H155" s="7">
        <f>++IF(Tableau1[[#This Row],[Fournisseur]]="","",C155+G155-1)</f>
        <v/>
      </c>
      <c r="I155" s="8">
        <f>++IF(Tableau1[[#This Row],[Fournisseur]]="","",IF(H155-Tableau1[[#This Row],[Date Paiement Effectif]]&gt;0," ",H155-Tableau1[[#This Row],[Date Paiement Effectif]]))</f>
        <v/>
      </c>
      <c r="J155" s="9">
        <f>++IF(Tableau1[[#This Row],[Fournisseur]]="","",IF(Tableau1[[#This Row],[Date Paiement Effectif]]="","Non encore payée",IF(I155&lt;0,"Attention, paiement hors délais","OK RAS")))</f>
        <v/>
      </c>
      <c r="K155" s="54" t="n">
        <v>46184</v>
      </c>
      <c r="L155" s="54" t="n"/>
      <c r="M155" s="31" t="n"/>
    </row>
    <row r="156" ht="14.25" customHeight="1">
      <c r="B156" s="55" t="n"/>
      <c r="C156" s="25" t="n"/>
      <c r="D156" s="25" t="n"/>
      <c r="E156" s="26" t="n"/>
      <c r="F156" s="67" t="n"/>
      <c r="G156" s="2">
        <f>+IF(Tableau1[[#This Row],[Fournisseur]]="","",IFERROR(VLOOKUP(Tableau1[[#This Row],[Fournisseur]],SuiviFrs,2,FALSE),"Vérifier la syntaxe : Fournisseur introuvable au niveau du suivi des conventions"))</f>
        <v/>
      </c>
      <c r="H156" s="7">
        <f>++IF(Tableau1[[#This Row],[Fournisseur]]="","",C156+G156-1)</f>
        <v/>
      </c>
      <c r="I156" s="8">
        <f>++IF(Tableau1[[#This Row],[Fournisseur]]="","",IF(H156-Tableau1[[#This Row],[Date Paiement Effectif]]&gt;0," ",H156-Tableau1[[#This Row],[Date Paiement Effectif]]))</f>
        <v/>
      </c>
      <c r="J156" s="9">
        <f>++IF(Tableau1[[#This Row],[Fournisseur]]="","",IF(Tableau1[[#This Row],[Date Paiement Effectif]]="","Non encore payée",IF(I156&lt;0,"Attention, paiement hors délais","OK RAS")))</f>
        <v/>
      </c>
      <c r="K156" s="54" t="n">
        <v>46184</v>
      </c>
      <c r="L156" s="54" t="n"/>
      <c r="M156" s="31" t="n"/>
    </row>
    <row r="157" ht="14.25" customHeight="1">
      <c r="B157" s="55" t="n"/>
      <c r="C157" s="25" t="n"/>
      <c r="D157" s="25" t="n"/>
      <c r="E157" s="26" t="n"/>
      <c r="F157" s="67" t="n"/>
      <c r="G157" s="2">
        <f>+IF(Tableau1[[#This Row],[Fournisseur]]="","",IFERROR(VLOOKUP(Tableau1[[#This Row],[Fournisseur]],SuiviFrs,2,FALSE),"Vérifier la syntaxe : Fournisseur introuvable au niveau du suivi des conventions"))</f>
        <v/>
      </c>
      <c r="H157" s="7">
        <f>++IF(Tableau1[[#This Row],[Fournisseur]]="","",C157+G157-1)</f>
        <v/>
      </c>
      <c r="I157" s="8">
        <f>++IF(Tableau1[[#This Row],[Fournisseur]]="","",IF(H157-Tableau1[[#This Row],[Date Paiement Effectif]]&gt;0," ",H157-Tableau1[[#This Row],[Date Paiement Effectif]]))</f>
        <v/>
      </c>
      <c r="J157" s="9">
        <f>++IF(Tableau1[[#This Row],[Fournisseur]]="","",IF(Tableau1[[#This Row],[Date Paiement Effectif]]="","Non encore payée",IF(I157&lt;0,"Attention, paiement hors délais","OK RAS")))</f>
        <v/>
      </c>
      <c r="K157" s="54" t="n">
        <v>46184</v>
      </c>
      <c r="L157" s="54" t="n"/>
      <c r="M157" s="31" t="n"/>
    </row>
    <row r="158" ht="14.25" customHeight="1">
      <c r="B158" s="55" t="n"/>
      <c r="C158" s="25" t="n"/>
      <c r="D158" s="25" t="n"/>
      <c r="E158" s="26" t="n"/>
      <c r="F158" s="67" t="n"/>
      <c r="G158" s="2">
        <f>+IF(Tableau1[[#This Row],[Fournisseur]]="","",IFERROR(VLOOKUP(Tableau1[[#This Row],[Fournisseur]],SuiviFrs,2,FALSE),"Vérifier la syntaxe : Fournisseur introuvable au niveau du suivi des conventions"))</f>
        <v/>
      </c>
      <c r="H158" s="7">
        <f>++IF(Tableau1[[#This Row],[Fournisseur]]="","",C158+G158-1)</f>
        <v/>
      </c>
      <c r="I158" s="8">
        <f>++IF(Tableau1[[#This Row],[Fournisseur]]="","",IF(H158-Tableau1[[#This Row],[Date Paiement Effectif]]&gt;0," ",H158-Tableau1[[#This Row],[Date Paiement Effectif]]))</f>
        <v/>
      </c>
      <c r="J158" s="9">
        <f>++IF(Tableau1[[#This Row],[Fournisseur]]="","",IF(Tableau1[[#This Row],[Date Paiement Effectif]]="","Non encore payée",IF(I158&lt;0,"Attention, paiement hors délais","OK RAS")))</f>
        <v/>
      </c>
      <c r="K158" s="54" t="n">
        <v>46184</v>
      </c>
      <c r="L158" s="54" t="n"/>
      <c r="M158" s="31" t="n"/>
    </row>
    <row r="159" ht="14.25" customHeight="1">
      <c r="B159" s="55" t="n"/>
      <c r="C159" s="25" t="n"/>
      <c r="D159" s="25" t="n"/>
      <c r="E159" s="26" t="n"/>
      <c r="F159" s="67" t="n"/>
      <c r="G159" s="2">
        <f>+IF(Tableau1[[#This Row],[Fournisseur]]="","",IFERROR(VLOOKUP(Tableau1[[#This Row],[Fournisseur]],SuiviFrs,2,FALSE),"Vérifier la syntaxe : Fournisseur introuvable au niveau du suivi des conventions"))</f>
        <v/>
      </c>
      <c r="H159" s="7">
        <f>++IF(Tableau1[[#This Row],[Fournisseur]]="","",C159+G159-1)</f>
        <v/>
      </c>
      <c r="I159" s="8">
        <f>++IF(Tableau1[[#This Row],[Fournisseur]]="","",IF(H159-Tableau1[[#This Row],[Date Paiement Effectif]]&gt;0," ",H159-Tableau1[[#This Row],[Date Paiement Effectif]]))</f>
        <v/>
      </c>
      <c r="J159" s="9">
        <f>++IF(Tableau1[[#This Row],[Fournisseur]]="","",IF(Tableau1[[#This Row],[Date Paiement Effectif]]="","Non encore payée",IF(I159&lt;0,"Attention, paiement hors délais","OK RAS")))</f>
        <v/>
      </c>
      <c r="K159" s="54" t="n">
        <v>46184</v>
      </c>
      <c r="L159" s="54" t="n"/>
      <c r="M159" s="31" t="n"/>
    </row>
    <row r="160" ht="14.25" customHeight="1">
      <c r="B160" s="55" t="n"/>
      <c r="C160" s="25" t="n"/>
      <c r="D160" s="25" t="n"/>
      <c r="E160" s="26" t="n"/>
      <c r="F160" s="67" t="n"/>
      <c r="G160" s="2">
        <f>+IF(Tableau1[[#This Row],[Fournisseur]]="","",IFERROR(VLOOKUP(Tableau1[[#This Row],[Fournisseur]],SuiviFrs,2,FALSE),"Vérifier la syntaxe : Fournisseur introuvable au niveau du suivi des conventions"))</f>
        <v/>
      </c>
      <c r="H160" s="7">
        <f>++IF(Tableau1[[#This Row],[Fournisseur]]="","",C160+G160-1)</f>
        <v/>
      </c>
      <c r="I160" s="8">
        <f>++IF(Tableau1[[#This Row],[Fournisseur]]="","",IF(H160-Tableau1[[#This Row],[Date Paiement Effectif]]&gt;0," ",H160-Tableau1[[#This Row],[Date Paiement Effectif]]))</f>
        <v/>
      </c>
      <c r="J160" s="9">
        <f>++IF(Tableau1[[#This Row],[Fournisseur]]="","",IF(Tableau1[[#This Row],[Date Paiement Effectif]]="","Non encore payée",IF(I160&lt;0,"Attention, paiement hors délais","OK RAS")))</f>
        <v/>
      </c>
      <c r="K160" s="54" t="n">
        <v>46184</v>
      </c>
      <c r="L160" s="54" t="n"/>
      <c r="M160" s="31" t="n"/>
    </row>
    <row r="161" ht="14.25" customHeight="1">
      <c r="B161" s="55" t="n"/>
      <c r="C161" s="25" t="n"/>
      <c r="D161" s="25" t="n"/>
      <c r="E161" s="26" t="n"/>
      <c r="F161" s="67" t="n"/>
      <c r="G161" s="2">
        <f>+IF(Tableau1[[#This Row],[Fournisseur]]="","",IFERROR(VLOOKUP(Tableau1[[#This Row],[Fournisseur]],SuiviFrs,2,FALSE),"Vérifier la syntaxe : Fournisseur introuvable au niveau du suivi des conventions"))</f>
        <v/>
      </c>
      <c r="H161" s="7">
        <f>++IF(Tableau1[[#This Row],[Fournisseur]]="","",C161+G161-1)</f>
        <v/>
      </c>
      <c r="I161" s="8">
        <f>++IF(Tableau1[[#This Row],[Fournisseur]]="","",IF(H161-Tableau1[[#This Row],[Date Paiement Effectif]]&gt;0," ",H161-Tableau1[[#This Row],[Date Paiement Effectif]]))</f>
        <v/>
      </c>
      <c r="J161" s="9">
        <f>++IF(Tableau1[[#This Row],[Fournisseur]]="","",IF(Tableau1[[#This Row],[Date Paiement Effectif]]="","Non encore payée",IF(I161&lt;0,"Attention, paiement hors délais","OK RAS")))</f>
        <v/>
      </c>
      <c r="K161" s="54" t="n">
        <v>46184</v>
      </c>
      <c r="L161" s="54" t="n"/>
      <c r="M161" s="31" t="n"/>
    </row>
    <row r="162" ht="14.25" customHeight="1">
      <c r="B162" s="55" t="n"/>
      <c r="C162" s="25" t="n"/>
      <c r="D162" s="25" t="n"/>
      <c r="E162" s="26" t="n"/>
      <c r="F162" s="67" t="n"/>
      <c r="G162" s="2">
        <f>+IF(Tableau1[[#This Row],[Fournisseur]]="","",IFERROR(VLOOKUP(Tableau1[[#This Row],[Fournisseur]],SuiviFrs,2,FALSE),"Vérifier la syntaxe : Fournisseur introuvable au niveau du suivi des conventions"))</f>
        <v/>
      </c>
      <c r="H162" s="7">
        <f>++IF(Tableau1[[#This Row],[Fournisseur]]="","",C162+G162-1)</f>
        <v/>
      </c>
      <c r="I162" s="8">
        <f>++IF(Tableau1[[#This Row],[Fournisseur]]="","",IF(H162-Tableau1[[#This Row],[Date Paiement Effectif]]&gt;0," ",H162-Tableau1[[#This Row],[Date Paiement Effectif]]))</f>
        <v/>
      </c>
      <c r="J162" s="9">
        <f>++IF(Tableau1[[#This Row],[Fournisseur]]="","",IF(Tableau1[[#This Row],[Date Paiement Effectif]]="","Non encore payée",IF(I162&lt;0,"Attention, paiement hors délais","OK RAS")))</f>
        <v/>
      </c>
      <c r="K162" s="54" t="n">
        <v>46184</v>
      </c>
      <c r="L162" s="54" t="n"/>
      <c r="M162" s="31" t="n"/>
    </row>
    <row r="163" ht="14.25" customHeight="1">
      <c r="B163" s="55" t="n"/>
      <c r="C163" s="25" t="n"/>
      <c r="D163" s="25" t="n"/>
      <c r="E163" s="46" t="n"/>
      <c r="F163" s="67" t="n"/>
      <c r="G163" s="2">
        <f>+IF(Tableau1[[#This Row],[Fournisseur]]="","",IFERROR(VLOOKUP(Tableau1[[#This Row],[Fournisseur]],SuiviFrs,2,FALSE),"Vérifier la syntaxe : Fournisseur introuvable au niveau du suivi des conventions"))</f>
        <v/>
      </c>
      <c r="H163" s="7">
        <f>++IF(Tableau1[[#This Row],[Fournisseur]]="","",C163+G163-1)</f>
        <v/>
      </c>
      <c r="I163" s="8">
        <f>++IF(Tableau1[[#This Row],[Fournisseur]]="","",IF(H163-Tableau1[[#This Row],[Date Paiement Effectif]]&gt;0," ",H163-Tableau1[[#This Row],[Date Paiement Effectif]]))</f>
        <v/>
      </c>
      <c r="J163" s="9">
        <f>++IF(Tableau1[[#This Row],[Fournisseur]]="","",IF(Tableau1[[#This Row],[Date Paiement Effectif]]="","Non encore payée",IF(I163&lt;0,"Attention, paiement hors délais","OK RAS")))</f>
        <v/>
      </c>
      <c r="K163" s="54" t="n">
        <v>46197</v>
      </c>
      <c r="L163" s="54" t="n"/>
      <c r="M163" s="31" t="n"/>
    </row>
    <row r="164" ht="14.25" customHeight="1">
      <c r="B164" s="55" t="n"/>
      <c r="C164" s="25" t="n"/>
      <c r="D164" s="25" t="n"/>
      <c r="E164" s="26" t="n"/>
      <c r="F164" s="67" t="n"/>
      <c r="G164" s="2">
        <f>+IF(Tableau1[[#This Row],[Fournisseur]]="","",IFERROR(VLOOKUP(Tableau1[[#This Row],[Fournisseur]],SuiviFrs,2,FALSE),"Vérifier la syntaxe : Fournisseur introuvable au niveau du suivi des conventions"))</f>
        <v/>
      </c>
      <c r="H164" s="7">
        <f>++IF(Tableau1[[#This Row],[Fournisseur]]="","",C164+G164-1)</f>
        <v/>
      </c>
      <c r="I164" s="8">
        <f>++IF(Tableau1[[#This Row],[Fournisseur]]="","",IF(H164-Tableau1[[#This Row],[Date Paiement Effectif]]&gt;0," ",H164-Tableau1[[#This Row],[Date Paiement Effectif]]))</f>
        <v/>
      </c>
      <c r="J164" s="9">
        <f>++IF(Tableau1[[#This Row],[Fournisseur]]="","",IF(Tableau1[[#This Row],[Date Paiement Effectif]]="","Non encore payée",IF(I164&lt;0,"Attention, paiement hors délais","OK RAS")))</f>
        <v/>
      </c>
      <c r="K164" s="54" t="n">
        <v>46202</v>
      </c>
      <c r="L164" s="54" t="n"/>
      <c r="M164" s="31" t="n"/>
    </row>
    <row r="165" ht="14.25" customHeight="1">
      <c r="B165" s="55" t="n"/>
      <c r="C165" s="25" t="n"/>
      <c r="D165" s="25" t="n"/>
      <c r="E165" s="26" t="n"/>
      <c r="F165" s="67" t="n"/>
      <c r="G165" s="2">
        <f>+IF(Tableau1[[#This Row],[Fournisseur]]="","",IFERROR(VLOOKUP(Tableau1[[#This Row],[Fournisseur]],SuiviFrs,2,FALSE),"Vérifier la syntaxe : Fournisseur introuvable au niveau du suivi des conventions"))</f>
        <v/>
      </c>
      <c r="H165" s="7">
        <f>++IF(Tableau1[[#This Row],[Fournisseur]]="","",C165+G165-1)</f>
        <v/>
      </c>
      <c r="I165" s="8">
        <f>++IF(Tableau1[[#This Row],[Fournisseur]]="","",IF(H165-Tableau1[[#This Row],[Date Paiement Effectif]]&gt;0," ",H165-Tableau1[[#This Row],[Date Paiement Effectif]]))</f>
        <v/>
      </c>
      <c r="J165" s="9">
        <f>++IF(Tableau1[[#This Row],[Fournisseur]]="","",IF(Tableau1[[#This Row],[Date Paiement Effectif]]="","Non encore payée",IF(I165&lt;0,"Attention, paiement hors délais","OK RAS")))</f>
        <v/>
      </c>
      <c r="K165" s="54" t="n">
        <v>46202</v>
      </c>
      <c r="L165" s="54" t="n"/>
      <c r="M165" s="31" t="n"/>
    </row>
    <row r="166" ht="14.25" customHeight="1">
      <c r="B166" s="55" t="n"/>
      <c r="C166" s="25" t="n"/>
      <c r="D166" s="25" t="n"/>
      <c r="E166" s="26" t="n"/>
      <c r="F166" s="67" t="n"/>
      <c r="G166" s="2">
        <f>+IF(Tableau1[[#This Row],[Fournisseur]]="","",IFERROR(VLOOKUP(Tableau1[[#This Row],[Fournisseur]],SuiviFrs,2,FALSE),"Vérifier la syntaxe : Fournisseur introuvable au niveau du suivi des conventions"))</f>
        <v/>
      </c>
      <c r="H166" s="7">
        <f>++IF(Tableau1[[#This Row],[Fournisseur]]="","",C166+G166-1)</f>
        <v/>
      </c>
      <c r="I166" s="8">
        <f>++IF(Tableau1[[#This Row],[Fournisseur]]="","",IF(H166-Tableau1[[#This Row],[Date Paiement Effectif]]&gt;0," ",H166-Tableau1[[#This Row],[Date Paiement Effectif]]))</f>
        <v/>
      </c>
      <c r="J166" s="9">
        <f>++IF(Tableau1[[#This Row],[Fournisseur]]="","",IF(Tableau1[[#This Row],[Date Paiement Effectif]]="","Non encore payée",IF(I166&lt;0,"Attention, paiement hors délais","OK RAS")))</f>
        <v/>
      </c>
      <c r="K166" s="54" t="n">
        <v>46202</v>
      </c>
      <c r="L166" s="54" t="n"/>
      <c r="M166" s="31" t="n"/>
    </row>
    <row r="167" ht="14.25" customHeight="1">
      <c r="B167" s="55" t="n"/>
      <c r="C167" s="25" t="n"/>
      <c r="D167" s="25" t="n"/>
      <c r="E167" s="26" t="n"/>
      <c r="F167" s="67" t="n"/>
      <c r="G167" s="2">
        <f>+IF(Tableau1[[#This Row],[Fournisseur]]="","",IFERROR(VLOOKUP(Tableau1[[#This Row],[Fournisseur]],SuiviFrs,2,FALSE),"Vérifier la syntaxe : Fournisseur introuvable au niveau du suivi des conventions"))</f>
        <v/>
      </c>
      <c r="H167" s="7">
        <f>++IF(Tableau1[[#This Row],[Fournisseur]]="","",C167+G167-1)</f>
        <v/>
      </c>
      <c r="I167" s="8">
        <f>++IF(Tableau1[[#This Row],[Fournisseur]]="","",IF(H167-Tableau1[[#This Row],[Date Paiement Effectif]]&gt;0," ",H167-Tableau1[[#This Row],[Date Paiement Effectif]]))</f>
        <v/>
      </c>
      <c r="J167" s="9">
        <f>++IF(Tableau1[[#This Row],[Fournisseur]]="","",IF(Tableau1[[#This Row],[Date Paiement Effectif]]="","Non encore payée",IF(I167&lt;0,"Attention, paiement hors délais","OK RAS")))</f>
        <v/>
      </c>
      <c r="K167" s="54" t="n">
        <v>46202</v>
      </c>
      <c r="L167" s="54" t="n"/>
      <c r="M167" s="31" t="n"/>
    </row>
    <row r="168" ht="14.25" customHeight="1">
      <c r="B168" s="55" t="n"/>
      <c r="C168" s="25" t="n"/>
      <c r="D168" s="25" t="n"/>
      <c r="E168" s="26" t="n"/>
      <c r="F168" s="67" t="n"/>
      <c r="G168" s="2">
        <f>+IF(Tableau1[[#This Row],[Fournisseur]]="","",IFERROR(VLOOKUP(Tableau1[[#This Row],[Fournisseur]],SuiviFrs,2,FALSE),"Vérifier la syntaxe : Fournisseur introuvable au niveau du suivi des conventions"))</f>
        <v/>
      </c>
      <c r="H168" s="7">
        <f>++IF(Tableau1[[#This Row],[Fournisseur]]="","",C168+G168-1)</f>
        <v/>
      </c>
      <c r="I168" s="8">
        <f>++IF(Tableau1[[#This Row],[Fournisseur]]="","",IF(H168-Tableau1[[#This Row],[Date Paiement Effectif]]&gt;0," ",H168-Tableau1[[#This Row],[Date Paiement Effectif]]))</f>
        <v/>
      </c>
      <c r="J168" s="9">
        <f>++IF(Tableau1[[#This Row],[Fournisseur]]="","",IF(Tableau1[[#This Row],[Date Paiement Effectif]]="","Non encore payée",IF(I168&lt;0,"Attention, paiement hors délais","OK RAS")))</f>
        <v/>
      </c>
      <c r="K168" s="54" t="n">
        <v>46202</v>
      </c>
      <c r="L168" s="54" t="n"/>
      <c r="M168" s="31" t="n"/>
    </row>
    <row r="169" ht="14.25" customHeight="1">
      <c r="B169" s="55" t="n"/>
      <c r="C169" s="25" t="n"/>
      <c r="D169" s="25" t="n"/>
      <c r="E169" s="26" t="n"/>
      <c r="F169" s="67" t="n"/>
      <c r="G169" s="2">
        <f>+IF(Tableau1[[#This Row],[Fournisseur]]="","",IFERROR(VLOOKUP(Tableau1[[#This Row],[Fournisseur]],SuiviFrs,2,FALSE),"Vérifier la syntaxe : Fournisseur introuvable au niveau du suivi des conventions"))</f>
        <v/>
      </c>
      <c r="H169" s="7">
        <f>++IF(Tableau1[[#This Row],[Fournisseur]]="","",C169+G169-1)</f>
        <v/>
      </c>
      <c r="I169" s="8">
        <f>++IF(Tableau1[[#This Row],[Fournisseur]]="","",IF(H169-Tableau1[[#This Row],[Date Paiement Effectif]]&gt;0," ",H169-Tableau1[[#This Row],[Date Paiement Effectif]]))</f>
        <v/>
      </c>
      <c r="J169" s="9">
        <f>++IF(Tableau1[[#This Row],[Fournisseur]]="","",IF(Tableau1[[#This Row],[Date Paiement Effectif]]="","Non encore payée",IF(I169&lt;0,"Attention, paiement hors délais","OK RAS")))</f>
        <v/>
      </c>
      <c r="K169" s="54" t="n">
        <v>46202</v>
      </c>
      <c r="L169" s="54" t="n"/>
      <c r="M169" s="31" t="n"/>
    </row>
    <row r="170" ht="14.25" customHeight="1">
      <c r="B170" s="55" t="n"/>
      <c r="C170" s="25" t="n"/>
      <c r="D170" s="25" t="n"/>
      <c r="E170" s="26" t="n"/>
      <c r="F170" s="67" t="n"/>
      <c r="G170" s="2">
        <f>+IF(Tableau1[[#This Row],[Fournisseur]]="","",IFERROR(VLOOKUP(Tableau1[[#This Row],[Fournisseur]],SuiviFrs,2,FALSE),"Vérifier la syntaxe : Fournisseur introuvable au niveau du suivi des conventions"))</f>
        <v/>
      </c>
      <c r="H170" s="7">
        <f>++IF(Tableau1[[#This Row],[Fournisseur]]="","",C170+G170-1)</f>
        <v/>
      </c>
      <c r="I170" s="8">
        <f>++IF(Tableau1[[#This Row],[Fournisseur]]="","",IF(H170-Tableau1[[#This Row],[Date Paiement Effectif]]&gt;0," ",H170-Tableau1[[#This Row],[Date Paiement Effectif]]))</f>
        <v/>
      </c>
      <c r="J170" s="9">
        <f>++IF(Tableau1[[#This Row],[Fournisseur]]="","",IF(Tableau1[[#This Row],[Date Paiement Effectif]]="","Non encore payée",IF(I170&lt;0,"Attention, paiement hors délais","OK RAS")))</f>
        <v/>
      </c>
      <c r="K170" s="54" t="n">
        <v>46202</v>
      </c>
      <c r="L170" s="54" t="n"/>
      <c r="M170" s="31" t="n"/>
    </row>
    <row r="171" ht="14.25" customHeight="1">
      <c r="B171" s="55" t="n"/>
      <c r="C171" s="25" t="n"/>
      <c r="D171" s="25" t="n"/>
      <c r="E171" s="26" t="n"/>
      <c r="F171" s="67" t="n"/>
      <c r="G171" s="2">
        <f>+IF(Tableau1[[#This Row],[Fournisseur]]="","",IFERROR(VLOOKUP(Tableau1[[#This Row],[Fournisseur]],SuiviFrs,2,FALSE),"Vérifier la syntaxe : Fournisseur introuvable au niveau du suivi des conventions"))</f>
        <v/>
      </c>
      <c r="H171" s="7">
        <f>++IF(Tableau1[[#This Row],[Fournisseur]]="","",C171+G171-1)</f>
        <v/>
      </c>
      <c r="I171" s="8">
        <f>++IF(Tableau1[[#This Row],[Fournisseur]]="","",IF(H171-Tableau1[[#This Row],[Date Paiement Effectif]]&gt;0," ",H171-Tableau1[[#This Row],[Date Paiement Effectif]]))</f>
        <v/>
      </c>
      <c r="J171" s="9">
        <f>++IF(Tableau1[[#This Row],[Fournisseur]]="","",IF(Tableau1[[#This Row],[Date Paiement Effectif]]="","Non encore payée",IF(I171&lt;0,"Attention, paiement hors délais","OK RAS")))</f>
        <v/>
      </c>
      <c r="K171" s="54" t="n">
        <v>46202</v>
      </c>
      <c r="L171" s="54" t="n"/>
      <c r="M171" s="31" t="n"/>
    </row>
    <row r="172" ht="14.25" customHeight="1">
      <c r="B172" s="55" t="n"/>
      <c r="C172" s="25" t="n"/>
      <c r="D172" s="25" t="n"/>
      <c r="E172" s="26" t="n"/>
      <c r="F172" s="67" t="n"/>
      <c r="G172" s="2">
        <f>+IF(Tableau1[[#This Row],[Fournisseur]]="","",IFERROR(VLOOKUP(Tableau1[[#This Row],[Fournisseur]],SuiviFrs,2,FALSE),"Vérifier la syntaxe : Fournisseur introuvable au niveau du suivi des conventions"))</f>
        <v/>
      </c>
      <c r="H172" s="7">
        <f>++IF(Tableau1[[#This Row],[Fournisseur]]="","",C172+G172-1)</f>
        <v/>
      </c>
      <c r="I172" s="8">
        <f>++IF(Tableau1[[#This Row],[Fournisseur]]="","",IF(H172-Tableau1[[#This Row],[Date Paiement Effectif]]&gt;0," ",H172-Tableau1[[#This Row],[Date Paiement Effectif]]))</f>
        <v/>
      </c>
      <c r="J172" s="9">
        <f>++IF(Tableau1[[#This Row],[Fournisseur]]="","",IF(Tableau1[[#This Row],[Date Paiement Effectif]]="","Non encore payée",IF(I172&lt;0,"Attention, paiement hors délais","OK RAS")))</f>
        <v/>
      </c>
      <c r="K172" s="54" t="n">
        <v>46202</v>
      </c>
      <c r="L172" s="54" t="n"/>
      <c r="M172" s="31" t="n"/>
    </row>
    <row r="173" ht="14.25" customHeight="1">
      <c r="B173" s="55" t="n"/>
      <c r="C173" s="25" t="n"/>
      <c r="D173" s="25" t="n"/>
      <c r="E173" s="26" t="n"/>
      <c r="F173" s="67" t="n"/>
      <c r="G173" s="2">
        <f>+IF(Tableau1[[#This Row],[Fournisseur]]="","",IFERROR(VLOOKUP(Tableau1[[#This Row],[Fournisseur]],SuiviFrs,2,FALSE),"Vérifier la syntaxe : Fournisseur introuvable au niveau du suivi des conventions"))</f>
        <v/>
      </c>
      <c r="H173" s="7">
        <f>++IF(Tableau1[[#This Row],[Fournisseur]]="","",C173+G173-1)</f>
        <v/>
      </c>
      <c r="I173" s="8">
        <f>++IF(Tableau1[[#This Row],[Fournisseur]]="","",IF(H173-Tableau1[[#This Row],[Date Paiement Effectif]]&gt;0," ",H173-Tableau1[[#This Row],[Date Paiement Effectif]]))</f>
        <v/>
      </c>
      <c r="J173" s="9">
        <f>++IF(Tableau1[[#This Row],[Fournisseur]]="","",IF(Tableau1[[#This Row],[Date Paiement Effectif]]="","Non encore payée",IF(I173&lt;0,"Attention, paiement hors délais","OK RAS")))</f>
        <v/>
      </c>
      <c r="K173" s="54" t="n">
        <v>46202</v>
      </c>
      <c r="L173" s="54" t="n"/>
      <c r="M173" s="31" t="n"/>
    </row>
    <row r="174" ht="14.25" customHeight="1">
      <c r="B174" s="55" t="n"/>
      <c r="C174" s="25" t="n"/>
      <c r="D174" s="25" t="n"/>
      <c r="E174" s="26" t="n"/>
      <c r="F174" s="67" t="n"/>
      <c r="G174" s="2">
        <f>+IF(Tableau1[[#This Row],[Fournisseur]]="","",IFERROR(VLOOKUP(Tableau1[[#This Row],[Fournisseur]],SuiviFrs,2,FALSE),"Vérifier la syntaxe : Fournisseur introuvable au niveau du suivi des conventions"))</f>
        <v/>
      </c>
      <c r="H174" s="7">
        <f>++IF(Tableau1[[#This Row],[Fournisseur]]="","",C174+G174-1)</f>
        <v/>
      </c>
      <c r="I174" s="8">
        <f>++IF(Tableau1[[#This Row],[Fournisseur]]="","",IF(H174-Tableau1[[#This Row],[Date Paiement Effectif]]&gt;0," ",H174-Tableau1[[#This Row],[Date Paiement Effectif]]))</f>
        <v/>
      </c>
      <c r="J174" s="9">
        <f>++IF(Tableau1[[#This Row],[Fournisseur]]="","",IF(Tableau1[[#This Row],[Date Paiement Effectif]]="","Non encore payée",IF(I174&lt;0,"Attention, paiement hors délais","OK RAS")))</f>
        <v/>
      </c>
      <c r="K174" s="54" t="n">
        <v>46202</v>
      </c>
      <c r="L174" s="54" t="n"/>
      <c r="M174" s="31" t="n"/>
    </row>
    <row r="175" ht="14.25" customHeight="1">
      <c r="B175" s="55" t="n"/>
      <c r="C175" s="25" t="n"/>
      <c r="D175" s="25" t="n"/>
      <c r="E175" s="46" t="n"/>
      <c r="F175" s="67" t="n"/>
      <c r="G175" s="2">
        <f>+IF(Tableau1[[#This Row],[Fournisseur]]="","",IFERROR(VLOOKUP(Tableau1[[#This Row],[Fournisseur]],SuiviFrs,2,FALSE),"Vérifier la syntaxe : Fournisseur introuvable au niveau du suivi des conventions"))</f>
        <v/>
      </c>
      <c r="H175" s="7">
        <f>++IF(Tableau1[[#This Row],[Fournisseur]]="","",C175+G175-1)</f>
        <v/>
      </c>
      <c r="I175" s="8">
        <f>++IF(Tableau1[[#This Row],[Fournisseur]]="","",IF(H175-Tableau1[[#This Row],[Date Paiement Effectif]]&gt;0," ",H175-Tableau1[[#This Row],[Date Paiement Effectif]]))</f>
        <v/>
      </c>
      <c r="J175" s="9">
        <f>++IF(Tableau1[[#This Row],[Fournisseur]]="","",IF(Tableau1[[#This Row],[Date Paiement Effectif]]="","Non encore payée",IF(I175&lt;0,"Attention, paiement hors délais","OK RAS")))</f>
        <v/>
      </c>
      <c r="K175" s="54" t="n">
        <v>46084</v>
      </c>
      <c r="L175" s="54" t="n"/>
      <c r="M175" s="31" t="n"/>
    </row>
    <row r="176" ht="14.25" customHeight="1">
      <c r="B176" s="55" t="n"/>
      <c r="C176" s="25" t="n"/>
      <c r="D176" s="25" t="n"/>
      <c r="E176" s="46" t="n"/>
      <c r="F176" s="67" t="n"/>
      <c r="G176" s="2">
        <f>+IF(Tableau1[[#This Row],[Fournisseur]]="","",IFERROR(VLOOKUP(Tableau1[[#This Row],[Fournisseur]],SuiviFrs,2,FALSE),"Vérifier la syntaxe : Fournisseur introuvable au niveau du suivi des conventions"))</f>
        <v/>
      </c>
      <c r="H176" s="7">
        <f>++IF(Tableau1[[#This Row],[Fournisseur]]="","",C176+G176-1)</f>
        <v/>
      </c>
      <c r="I176" s="8">
        <f>++IF(Tableau1[[#This Row],[Fournisseur]]="","",IF(H176-Tableau1[[#This Row],[Date Paiement Effectif]]&gt;0," ",H176-Tableau1[[#This Row],[Date Paiement Effectif]]))</f>
        <v/>
      </c>
      <c r="J176" s="9">
        <f>++IF(Tableau1[[#This Row],[Fournisseur]]="","",IF(Tableau1[[#This Row],[Date Paiement Effectif]]="","Non encore payée",IF(I176&lt;0,"Attention, paiement hors délais","OK RAS")))</f>
        <v/>
      </c>
      <c r="K176" s="54" t="n">
        <v>46084</v>
      </c>
      <c r="L176" s="54" t="n"/>
      <c r="M176" s="31" t="n"/>
    </row>
    <row r="177" ht="14.25" customHeight="1">
      <c r="B177" s="55" t="n"/>
      <c r="C177" s="25" t="n"/>
      <c r="D177" s="25" t="n"/>
      <c r="E177" s="46" t="n"/>
      <c r="F177" s="67" t="n"/>
      <c r="G177" s="2">
        <f>+IF(Tableau1[[#This Row],[Fournisseur]]="","",IFERROR(VLOOKUP(Tableau1[[#This Row],[Fournisseur]],SuiviFrs,2,FALSE),"Vérifier la syntaxe : Fournisseur introuvable au niveau du suivi des conventions"))</f>
        <v/>
      </c>
      <c r="H177" s="7">
        <f>++IF(Tableau1[[#This Row],[Fournisseur]]="","",C177+G177-1)</f>
        <v/>
      </c>
      <c r="I177" s="8">
        <f>++IF(Tableau1[[#This Row],[Fournisseur]]="","",IF(H177-Tableau1[[#This Row],[Date Paiement Effectif]]&gt;0," ",H177-Tableau1[[#This Row],[Date Paiement Effectif]]))</f>
        <v/>
      </c>
      <c r="J177" s="9">
        <f>++IF(Tableau1[[#This Row],[Fournisseur]]="","",IF(Tableau1[[#This Row],[Date Paiement Effectif]]="","Non encore payée",IF(I177&lt;0,"Attention, paiement hors délais","OK RAS")))</f>
        <v/>
      </c>
      <c r="K177" s="54" t="n">
        <v>46083</v>
      </c>
      <c r="L177" s="54" t="n"/>
      <c r="M177" s="31" t="n"/>
    </row>
    <row r="178" ht="14.25" customHeight="1">
      <c r="B178" s="55" t="n"/>
      <c r="C178" s="25" t="n"/>
      <c r="D178" s="25" t="n"/>
      <c r="E178" s="46" t="n"/>
      <c r="F178" s="67" t="n"/>
      <c r="G178" s="2">
        <f>+IF(Tableau1[[#This Row],[Fournisseur]]="","",IFERROR(VLOOKUP(Tableau1[[#This Row],[Fournisseur]],SuiviFrs,2,FALSE),"Vérifier la syntaxe : Fournisseur introuvable au niveau du suivi des conventions"))</f>
        <v/>
      </c>
      <c r="H178" s="7">
        <f>++IF(Tableau1[[#This Row],[Fournisseur]]="","",C178+G178-1)</f>
        <v/>
      </c>
      <c r="I178" s="8">
        <f>++IF(Tableau1[[#This Row],[Fournisseur]]="","",IF(H178-Tableau1[[#This Row],[Date Paiement Effectif]]&gt;0," ",H178-Tableau1[[#This Row],[Date Paiement Effectif]]))</f>
        <v/>
      </c>
      <c r="J178" s="9">
        <f>++IF(Tableau1[[#This Row],[Fournisseur]]="","",IF(Tableau1[[#This Row],[Date Paiement Effectif]]="","Non encore payée",IF(I178&lt;0,"Attention, paiement hors délais","OK RAS")))</f>
        <v/>
      </c>
      <c r="K178" s="54" t="n">
        <v>46083</v>
      </c>
      <c r="L178" s="54" t="n"/>
      <c r="M178" s="31" t="n"/>
    </row>
    <row r="179" ht="14.25" customHeight="1">
      <c r="B179" s="55" t="n"/>
      <c r="C179" s="25" t="n"/>
      <c r="D179" s="25" t="n"/>
      <c r="E179" s="46" t="n"/>
      <c r="F179" s="67" t="n"/>
      <c r="G179" s="2">
        <f>+IF(Tableau1[[#This Row],[Fournisseur]]="","",IFERROR(VLOOKUP(Tableau1[[#This Row],[Fournisseur]],SuiviFrs,2,FALSE),"Vérifier la syntaxe : Fournisseur introuvable au niveau du suivi des conventions"))</f>
        <v/>
      </c>
      <c r="H179" s="7">
        <f>++IF(Tableau1[[#This Row],[Fournisseur]]="","",C179+G179-1)</f>
        <v/>
      </c>
      <c r="I179" s="8">
        <f>++IF(Tableau1[[#This Row],[Fournisseur]]="","",IF(H179-Tableau1[[#This Row],[Date Paiement Effectif]]&gt;0," ",H179-Tableau1[[#This Row],[Date Paiement Effectif]]))</f>
        <v/>
      </c>
      <c r="J179" s="9">
        <f>++IF(Tableau1[[#This Row],[Fournisseur]]="","",IF(Tableau1[[#This Row],[Date Paiement Effectif]]="","Non encore payée",IF(I179&lt;0,"Attention, paiement hors délais","OK RAS")))</f>
        <v/>
      </c>
      <c r="K179" s="54" t="n">
        <v>46083</v>
      </c>
      <c r="L179" s="54" t="n"/>
      <c r="M179" s="31" t="n"/>
    </row>
    <row r="180" ht="14.25" customHeight="1">
      <c r="B180" s="55" t="n"/>
      <c r="C180" s="25" t="n"/>
      <c r="D180" s="25" t="n"/>
      <c r="E180" s="46" t="n"/>
      <c r="F180" s="67" t="n"/>
      <c r="G180" s="2">
        <f>+IF(Tableau1[[#This Row],[Fournisseur]]="","",IFERROR(VLOOKUP(Tableau1[[#This Row],[Fournisseur]],SuiviFrs,2,FALSE),"Vérifier la syntaxe : Fournisseur introuvable au niveau du suivi des conventions"))</f>
        <v/>
      </c>
      <c r="H180" s="7">
        <f>++IF(Tableau1[[#This Row],[Fournisseur]]="","",C180+G180-1)</f>
        <v/>
      </c>
      <c r="I180" s="8">
        <f>++IF(Tableau1[[#This Row],[Fournisseur]]="","",IF(H180-Tableau1[[#This Row],[Date Paiement Effectif]]&gt;0," ",H180-Tableau1[[#This Row],[Date Paiement Effectif]]))</f>
        <v/>
      </c>
      <c r="J180" s="9">
        <f>++IF(Tableau1[[#This Row],[Fournisseur]]="","",IF(Tableau1[[#This Row],[Date Paiement Effectif]]="","Non encore payée",IF(I180&lt;0,"Attention, paiement hors délais","OK RAS")))</f>
        <v/>
      </c>
      <c r="K180" s="54" t="n">
        <v>46083</v>
      </c>
      <c r="L180" s="54" t="n"/>
      <c r="M180" s="31" t="n"/>
    </row>
    <row r="181" ht="14.25" customHeight="1">
      <c r="B181" s="55" t="n"/>
      <c r="C181" s="25" t="n"/>
      <c r="D181" s="25" t="n"/>
      <c r="E181" s="46" t="n"/>
      <c r="F181" s="67" t="n"/>
      <c r="G181" s="2">
        <f>+IF(Tableau1[[#This Row],[Fournisseur]]="","",IFERROR(VLOOKUP(Tableau1[[#This Row],[Fournisseur]],SuiviFrs,2,FALSE),"Vérifier la syntaxe : Fournisseur introuvable au niveau du suivi des conventions"))</f>
        <v/>
      </c>
      <c r="H181" s="7">
        <f>++IF(Tableau1[[#This Row],[Fournisseur]]="","",C181+G181-1)</f>
        <v/>
      </c>
      <c r="I181" s="8">
        <f>++IF(Tableau1[[#This Row],[Fournisseur]]="","",IF(H181-Tableau1[[#This Row],[Date Paiement Effectif]]&gt;0," ",H181-Tableau1[[#This Row],[Date Paiement Effectif]]))</f>
        <v/>
      </c>
      <c r="J181" s="9">
        <f>++IF(Tableau1[[#This Row],[Fournisseur]]="","",IF(Tableau1[[#This Row],[Date Paiement Effectif]]="","Non encore payée",IF(I181&lt;0,"Attention, paiement hors délais","OK RAS")))</f>
        <v/>
      </c>
      <c r="K181" s="54" t="n">
        <v>46083</v>
      </c>
      <c r="L181" s="54" t="n"/>
      <c r="M181" s="31" t="n"/>
    </row>
    <row r="182" ht="14.25" customHeight="1">
      <c r="B182" s="55" t="n"/>
      <c r="C182" s="25" t="n"/>
      <c r="D182" s="25" t="n"/>
      <c r="E182" s="46" t="n"/>
      <c r="F182" s="67" t="n"/>
      <c r="G182" s="2">
        <f>+IF(Tableau1[[#This Row],[Fournisseur]]="","",IFERROR(VLOOKUP(Tableau1[[#This Row],[Fournisseur]],SuiviFrs,2,FALSE),"Vérifier la syntaxe : Fournisseur introuvable au niveau du suivi des conventions"))</f>
        <v/>
      </c>
      <c r="H182" s="7">
        <f>++IF(Tableau1[[#This Row],[Fournisseur]]="","",C182+G182-1)</f>
        <v/>
      </c>
      <c r="I182" s="8">
        <f>++IF(Tableau1[[#This Row],[Fournisseur]]="","",IF(H182-Tableau1[[#This Row],[Date Paiement Effectif]]&gt;0," ",H182-Tableau1[[#This Row],[Date Paiement Effectif]]))</f>
        <v/>
      </c>
      <c r="J182" s="9">
        <f>++IF(Tableau1[[#This Row],[Fournisseur]]="","",IF(Tableau1[[#This Row],[Date Paiement Effectif]]="","Non encore payée",IF(I182&lt;0,"Attention, paiement hors délais","OK RAS")))</f>
        <v/>
      </c>
      <c r="K182" s="54" t="n">
        <v>46083</v>
      </c>
      <c r="L182" s="54" t="n"/>
      <c r="M182" s="31" t="n"/>
    </row>
    <row r="183" ht="14.25" customHeight="1">
      <c r="B183" s="55" t="n"/>
      <c r="C183" s="25" t="n"/>
      <c r="D183" s="25" t="n"/>
      <c r="E183" s="46" t="n"/>
      <c r="F183" s="67" t="n"/>
      <c r="G183" s="2">
        <f>+IF(Tableau1[[#This Row],[Fournisseur]]="","",IFERROR(VLOOKUP(Tableau1[[#This Row],[Fournisseur]],SuiviFrs,2,FALSE),"Vérifier la syntaxe : Fournisseur introuvable au niveau du suivi des conventions"))</f>
        <v/>
      </c>
      <c r="H183" s="7">
        <f>++IF(Tableau1[[#This Row],[Fournisseur]]="","",C183+G183-1)</f>
        <v/>
      </c>
      <c r="I183" s="8">
        <f>++IF(Tableau1[[#This Row],[Fournisseur]]="","",IF(H183-Tableau1[[#This Row],[Date Paiement Effectif]]&gt;0," ",H183-Tableau1[[#This Row],[Date Paiement Effectif]]))</f>
        <v/>
      </c>
      <c r="J183" s="9">
        <f>++IF(Tableau1[[#This Row],[Fournisseur]]="","",IF(Tableau1[[#This Row],[Date Paiement Effectif]]="","Non encore payée",IF(I183&lt;0,"Attention, paiement hors délais","OK RAS")))</f>
        <v/>
      </c>
      <c r="K183" s="54" t="n">
        <v>46083</v>
      </c>
      <c r="L183" s="54" t="n"/>
      <c r="M183" s="31" t="n"/>
    </row>
    <row r="184" ht="14.25" customHeight="1">
      <c r="B184" s="55" t="n"/>
      <c r="C184" s="25" t="n"/>
      <c r="D184" s="25" t="n"/>
      <c r="E184" s="46" t="n"/>
      <c r="F184" s="67" t="n"/>
      <c r="G184" s="2">
        <f>+IF(Tableau1[[#This Row],[Fournisseur]]="","",IFERROR(VLOOKUP(Tableau1[[#This Row],[Fournisseur]],SuiviFrs,2,FALSE),"Vérifier la syntaxe : Fournisseur introuvable au niveau du suivi des conventions"))</f>
        <v/>
      </c>
      <c r="H184" s="7">
        <f>++IF(Tableau1[[#This Row],[Fournisseur]]="","",C184+G184-1)</f>
        <v/>
      </c>
      <c r="I184" s="8">
        <f>++IF(Tableau1[[#This Row],[Fournisseur]]="","",IF(H184-Tableau1[[#This Row],[Date Paiement Effectif]]&gt;0," ",H184-Tableau1[[#This Row],[Date Paiement Effectif]]))</f>
        <v/>
      </c>
      <c r="J184" s="9">
        <f>++IF(Tableau1[[#This Row],[Fournisseur]]="","",IF(Tableau1[[#This Row],[Date Paiement Effectif]]="","Non encore payée",IF(I184&lt;0,"Attention, paiement hors délais","OK RAS")))</f>
        <v/>
      </c>
      <c r="K184" s="54" t="n">
        <v>46083</v>
      </c>
      <c r="L184" s="54" t="n"/>
      <c r="M184" s="31" t="n"/>
    </row>
    <row r="185" ht="14.25" customHeight="1">
      <c r="B185" s="55" t="n"/>
      <c r="C185" s="25" t="n"/>
      <c r="D185" s="25" t="n"/>
      <c r="E185" s="46" t="n"/>
      <c r="F185" s="67" t="n"/>
      <c r="G185" s="2">
        <f>+IF(Tableau1[[#This Row],[Fournisseur]]="","",IFERROR(VLOOKUP(Tableau1[[#This Row],[Fournisseur]],SuiviFrs,2,FALSE),"Vérifier la syntaxe : Fournisseur introuvable au niveau du suivi des conventions"))</f>
        <v/>
      </c>
      <c r="H185" s="7">
        <f>++IF(Tableau1[[#This Row],[Fournisseur]]="","",C185+G185-1)</f>
        <v/>
      </c>
      <c r="I185" s="8">
        <f>++IF(Tableau1[[#This Row],[Fournisseur]]="","",IF(H185-Tableau1[[#This Row],[Date Paiement Effectif]]&gt;0," ",H185-Tableau1[[#This Row],[Date Paiement Effectif]]))</f>
        <v/>
      </c>
      <c r="J185" s="9">
        <f>++IF(Tableau1[[#This Row],[Fournisseur]]="","",IF(Tableau1[[#This Row],[Date Paiement Effectif]]="","Non encore payée",IF(I185&lt;0,"Attention, paiement hors délais","OK RAS")))</f>
        <v/>
      </c>
      <c r="K185" s="54" t="n">
        <v>46083</v>
      </c>
      <c r="L185" s="54" t="n"/>
      <c r="M185" s="31" t="n"/>
    </row>
    <row r="186" ht="14.25" customHeight="1">
      <c r="B186" s="55" t="n"/>
      <c r="C186" s="25" t="n"/>
      <c r="D186" s="25" t="n"/>
      <c r="E186" s="46" t="n"/>
      <c r="F186" s="67" t="n"/>
      <c r="G186" s="2">
        <f>+IF(Tableau1[[#This Row],[Fournisseur]]="","",IFERROR(VLOOKUP(Tableau1[[#This Row],[Fournisseur]],SuiviFrs,2,FALSE),"Vérifier la syntaxe : Fournisseur introuvable au niveau du suivi des conventions"))</f>
        <v/>
      </c>
      <c r="H186" s="7">
        <f>++IF(Tableau1[[#This Row],[Fournisseur]]="","",C186+G186-1)</f>
        <v/>
      </c>
      <c r="I186" s="8">
        <f>++IF(Tableau1[[#This Row],[Fournisseur]]="","",IF(H186-Tableau1[[#This Row],[Date Paiement Effectif]]&gt;0," ",H186-Tableau1[[#This Row],[Date Paiement Effectif]]))</f>
        <v/>
      </c>
      <c r="J186" s="9">
        <f>++IF(Tableau1[[#This Row],[Fournisseur]]="","",IF(Tableau1[[#This Row],[Date Paiement Effectif]]="","Non encore payée",IF(I186&lt;0,"Attention, paiement hors délais","OK RAS")))</f>
        <v/>
      </c>
      <c r="K186" s="54" t="n">
        <v>46083</v>
      </c>
      <c r="L186" s="54" t="n"/>
      <c r="M186" s="31" t="n"/>
    </row>
    <row r="187" ht="14.25" customHeight="1">
      <c r="B187" s="55" t="n"/>
      <c r="C187" s="25" t="n"/>
      <c r="D187" s="25" t="n"/>
      <c r="E187" s="46" t="n"/>
      <c r="F187" s="67" t="n"/>
      <c r="G187" s="2">
        <f>+IF(Tableau1[[#This Row],[Fournisseur]]="","",IFERROR(VLOOKUP(Tableau1[[#This Row],[Fournisseur]],SuiviFrs,2,FALSE),"Vérifier la syntaxe : Fournisseur introuvable au niveau du suivi des conventions"))</f>
        <v/>
      </c>
      <c r="H187" s="7">
        <f>++IF(Tableau1[[#This Row],[Fournisseur]]="","",C187+G187-1)</f>
        <v/>
      </c>
      <c r="I187" s="8">
        <f>++IF(Tableau1[[#This Row],[Fournisseur]]="","",IF(H187-Tableau1[[#This Row],[Date Paiement Effectif]]&gt;0," ",H187-Tableau1[[#This Row],[Date Paiement Effectif]]))</f>
        <v/>
      </c>
      <c r="J187" s="9">
        <f>++IF(Tableau1[[#This Row],[Fournisseur]]="","",IF(Tableau1[[#This Row],[Date Paiement Effectif]]="","Non encore payée",IF(I187&lt;0,"Attention, paiement hors délais","OK RAS")))</f>
        <v/>
      </c>
      <c r="K187" s="54" t="n">
        <v>46083</v>
      </c>
      <c r="L187" s="54" t="n"/>
      <c r="M187" s="31" t="n"/>
    </row>
    <row r="188" ht="14.25" customHeight="1">
      <c r="B188" s="55" t="n"/>
      <c r="C188" s="25" t="n"/>
      <c r="D188" s="25" t="n"/>
      <c r="E188" s="46" t="n"/>
      <c r="F188" s="67" t="n"/>
      <c r="G188" s="2">
        <f>+IF(Tableau1[[#This Row],[Fournisseur]]="","",IFERROR(VLOOKUP(Tableau1[[#This Row],[Fournisseur]],SuiviFrs,2,FALSE),"Vérifier la syntaxe : Fournisseur introuvable au niveau du suivi des conventions"))</f>
        <v/>
      </c>
      <c r="H188" s="7">
        <f>++IF(Tableau1[[#This Row],[Fournisseur]]="","",C188+G188-1)</f>
        <v/>
      </c>
      <c r="I188" s="8">
        <f>++IF(Tableau1[[#This Row],[Fournisseur]]="","",IF(H188-Tableau1[[#This Row],[Date Paiement Effectif]]&gt;0," ",H188-Tableau1[[#This Row],[Date Paiement Effectif]]))</f>
        <v/>
      </c>
      <c r="J188" s="9">
        <f>++IF(Tableau1[[#This Row],[Fournisseur]]="","",IF(Tableau1[[#This Row],[Date Paiement Effectif]]="","Non encore payée",IF(I188&lt;0,"Attention, paiement hors délais","OK RAS")))</f>
        <v/>
      </c>
      <c r="K188" s="54" t="n">
        <v>46083</v>
      </c>
      <c r="L188" s="54" t="n"/>
      <c r="M188" s="31" t="n"/>
    </row>
    <row r="189" ht="14.25" customHeight="1">
      <c r="B189" s="55" t="n"/>
      <c r="C189" s="25" t="n"/>
      <c r="D189" s="25" t="n"/>
      <c r="E189" s="46" t="n"/>
      <c r="F189" s="67" t="n"/>
      <c r="G189" s="2">
        <f>+IF(Tableau1[[#This Row],[Fournisseur]]="","",IFERROR(VLOOKUP(Tableau1[[#This Row],[Fournisseur]],SuiviFrs,2,FALSE),"Vérifier la syntaxe : Fournisseur introuvable au niveau du suivi des conventions"))</f>
        <v/>
      </c>
      <c r="H189" s="7">
        <f>++IF(Tableau1[[#This Row],[Fournisseur]]="","",C189+G189-1)</f>
        <v/>
      </c>
      <c r="I189" s="8">
        <f>++IF(Tableau1[[#This Row],[Fournisseur]]="","",IF(H189-Tableau1[[#This Row],[Date Paiement Effectif]]&gt;0," ",H189-Tableau1[[#This Row],[Date Paiement Effectif]]))</f>
        <v/>
      </c>
      <c r="J189" s="9">
        <f>++IF(Tableau1[[#This Row],[Fournisseur]]="","",IF(Tableau1[[#This Row],[Date Paiement Effectif]]="","Non encore payée",IF(I189&lt;0,"Attention, paiement hors délais","OK RAS")))</f>
        <v/>
      </c>
      <c r="K189" s="54" t="n">
        <v>46083</v>
      </c>
      <c r="L189" s="54" t="n"/>
      <c r="M189" s="31" t="n"/>
    </row>
    <row r="190" ht="14.25" customHeight="1">
      <c r="B190" s="55" t="n"/>
      <c r="C190" s="25" t="n"/>
      <c r="D190" s="25" t="n"/>
      <c r="E190" s="46" t="n"/>
      <c r="F190" s="67" t="n"/>
      <c r="G190" s="2">
        <f>+IF(Tableau1[[#This Row],[Fournisseur]]="","",IFERROR(VLOOKUP(Tableau1[[#This Row],[Fournisseur]],SuiviFrs,2,FALSE),"Vérifier la syntaxe : Fournisseur introuvable au niveau du suivi des conventions"))</f>
        <v/>
      </c>
      <c r="H190" s="7">
        <f>++IF(Tableau1[[#This Row],[Fournisseur]]="","",C190+G190-1)</f>
        <v/>
      </c>
      <c r="I190" s="8">
        <f>++IF(Tableau1[[#This Row],[Fournisseur]]="","",IF(H190-Tableau1[[#This Row],[Date Paiement Effectif]]&gt;0," ",H190-Tableau1[[#This Row],[Date Paiement Effectif]]))</f>
        <v/>
      </c>
      <c r="J190" s="9">
        <f>++IF(Tableau1[[#This Row],[Fournisseur]]="","",IF(Tableau1[[#This Row],[Date Paiement Effectif]]="","Non encore payée",IF(I190&lt;0,"Attention, paiement hors délais","OK RAS")))</f>
        <v/>
      </c>
      <c r="K190" s="54" t="n">
        <v>46083</v>
      </c>
      <c r="L190" s="54" t="n"/>
      <c r="M190" s="31" t="n"/>
    </row>
    <row r="191" ht="14.25" customHeight="1">
      <c r="B191" s="55" t="n"/>
      <c r="C191" s="25" t="n"/>
      <c r="D191" s="25" t="n"/>
      <c r="E191" s="46" t="n"/>
      <c r="F191" s="67" t="n"/>
      <c r="G191" s="2">
        <f>+IF(Tableau1[[#This Row],[Fournisseur]]="","",IFERROR(VLOOKUP(Tableau1[[#This Row],[Fournisseur]],SuiviFrs,2,FALSE),"Vérifier la syntaxe : Fournisseur introuvable au niveau du suivi des conventions"))</f>
        <v/>
      </c>
      <c r="H191" s="7">
        <f>++IF(Tableau1[[#This Row],[Fournisseur]]="","",C191+G191-1)</f>
        <v/>
      </c>
      <c r="I191" s="8">
        <f>++IF(Tableau1[[#This Row],[Fournisseur]]="","",IF(H191-Tableau1[[#This Row],[Date Paiement Effectif]]&gt;0," ",H191-Tableau1[[#This Row],[Date Paiement Effectif]]))</f>
        <v/>
      </c>
      <c r="J191" s="9">
        <f>++IF(Tableau1[[#This Row],[Fournisseur]]="","",IF(Tableau1[[#This Row],[Date Paiement Effectif]]="","Non encore payée",IF(I191&lt;0,"Attention, paiement hors délais","OK RAS")))</f>
        <v/>
      </c>
      <c r="K191" s="54" t="n">
        <v>46083</v>
      </c>
      <c r="L191" s="54" t="n"/>
      <c r="M191" s="31" t="n"/>
    </row>
    <row r="192" ht="14.25" customHeight="1">
      <c r="B192" s="55" t="n"/>
      <c r="C192" s="25" t="n"/>
      <c r="D192" s="25" t="n"/>
      <c r="E192" s="46" t="n"/>
      <c r="F192" s="67" t="n"/>
      <c r="G192" s="2">
        <f>+IF(Tableau1[[#This Row],[Fournisseur]]="","",IFERROR(VLOOKUP(Tableau1[[#This Row],[Fournisseur]],SuiviFrs,2,FALSE),"Vérifier la syntaxe : Fournisseur introuvable au niveau du suivi des conventions"))</f>
        <v/>
      </c>
      <c r="H192" s="7">
        <f>++IF(Tableau1[[#This Row],[Fournisseur]]="","",C192+G192-1)</f>
        <v/>
      </c>
      <c r="I192" s="8">
        <f>++IF(Tableau1[[#This Row],[Fournisseur]]="","",IF(H192-Tableau1[[#This Row],[Date Paiement Effectif]]&gt;0," ",H192-Tableau1[[#This Row],[Date Paiement Effectif]]))</f>
        <v/>
      </c>
      <c r="J192" s="9">
        <f>++IF(Tableau1[[#This Row],[Fournisseur]]="","",IF(Tableau1[[#This Row],[Date Paiement Effectif]]="","Non encore payée",IF(I192&lt;0,"Attention, paiement hors délais","OK RAS")))</f>
        <v/>
      </c>
      <c r="K192" s="54" t="n">
        <v>46086</v>
      </c>
      <c r="L192" s="54" t="n"/>
      <c r="M192" s="31" t="n"/>
    </row>
    <row r="193" ht="14.25" customHeight="1">
      <c r="B193" s="55" t="n"/>
      <c r="C193" s="25" t="n"/>
      <c r="D193" s="25" t="n"/>
      <c r="E193" s="46" t="n"/>
      <c r="F193" s="67" t="n"/>
      <c r="G193" s="2">
        <f>+IF(Tableau1[[#This Row],[Fournisseur]]="","",IFERROR(VLOOKUP(Tableau1[[#This Row],[Fournisseur]],SuiviFrs,2,FALSE),"Vérifier la syntaxe : Fournisseur introuvable au niveau du suivi des conventions"))</f>
        <v/>
      </c>
      <c r="H193" s="7">
        <f>++IF(Tableau1[[#This Row],[Fournisseur]]="","",C193+G193-1)</f>
        <v/>
      </c>
      <c r="I193" s="8">
        <f>++IF(Tableau1[[#This Row],[Fournisseur]]="","",IF(H193-Tableau1[[#This Row],[Date Paiement Effectif]]&gt;0," ",H193-Tableau1[[#This Row],[Date Paiement Effectif]]))</f>
        <v/>
      </c>
      <c r="J193" s="9">
        <f>++IF(Tableau1[[#This Row],[Fournisseur]]="","",IF(Tableau1[[#This Row],[Date Paiement Effectif]]="","Non encore payée",IF(I193&lt;0,"Attention, paiement hors délais","OK RAS")))</f>
        <v/>
      </c>
      <c r="K193" s="54" t="n">
        <v>46107</v>
      </c>
      <c r="L193" s="54" t="n"/>
      <c r="M193" s="31" t="n"/>
    </row>
    <row r="194" ht="14.25" customHeight="1">
      <c r="B194" s="55" t="n"/>
      <c r="C194" s="25" t="n"/>
      <c r="D194" s="25" t="n"/>
      <c r="E194" s="46" t="n"/>
      <c r="F194" s="67" t="n"/>
      <c r="G194" s="2">
        <f>+IF(Tableau1[[#This Row],[Fournisseur]]="","",IFERROR(VLOOKUP(Tableau1[[#This Row],[Fournisseur]],SuiviFrs,2,FALSE),"Vérifier la syntaxe : Fournisseur introuvable au niveau du suivi des conventions"))</f>
        <v/>
      </c>
      <c r="H194" s="7">
        <f>++IF(Tableau1[[#This Row],[Fournisseur]]="","",C194+G194-1)</f>
        <v/>
      </c>
      <c r="I194" s="8">
        <f>++IF(Tableau1[[#This Row],[Fournisseur]]="","",IF(H194-Tableau1[[#This Row],[Date Paiement Effectif]]&gt;0," ",H194-Tableau1[[#This Row],[Date Paiement Effectif]]))</f>
        <v/>
      </c>
      <c r="J194" s="9">
        <f>++IF(Tableau1[[#This Row],[Fournisseur]]="","",IF(Tableau1[[#This Row],[Date Paiement Effectif]]="","Non encore payée",IF(I194&lt;0,"Attention, paiement hors délais","OK RAS")))</f>
        <v/>
      </c>
      <c r="K194" s="54" t="n">
        <v>46107</v>
      </c>
      <c r="L194" s="54" t="n"/>
      <c r="M194" s="31" t="n"/>
    </row>
    <row r="195" ht="14.25" customHeight="1">
      <c r="B195" s="55" t="n"/>
      <c r="C195" s="25" t="n"/>
      <c r="D195" s="25" t="n"/>
      <c r="E195" s="46" t="n"/>
      <c r="F195" s="67" t="n"/>
      <c r="G195" s="2">
        <f>+IF(Tableau1[[#This Row],[Fournisseur]]="","",IFERROR(VLOOKUP(Tableau1[[#This Row],[Fournisseur]],SuiviFrs,2,FALSE),"Vérifier la syntaxe : Fournisseur introuvable au niveau du suivi des conventions"))</f>
        <v/>
      </c>
      <c r="H195" s="7">
        <f>++IF(Tableau1[[#This Row],[Fournisseur]]="","",C195+G195-1)</f>
        <v/>
      </c>
      <c r="I195" s="8">
        <f>++IF(Tableau1[[#This Row],[Fournisseur]]="","",IF(H195-Tableau1[[#This Row],[Date Paiement Effectif]]&gt;0," ",H195-Tableau1[[#This Row],[Date Paiement Effectif]]))</f>
        <v/>
      </c>
      <c r="J195" s="9">
        <f>++IF(Tableau1[[#This Row],[Fournisseur]]="","",IF(Tableau1[[#This Row],[Date Paiement Effectif]]="","Non encore payée",IF(I195&lt;0,"Attention, paiement hors délais","OK RAS")))</f>
        <v/>
      </c>
      <c r="K195" s="54" t="n">
        <v>46107</v>
      </c>
      <c r="L195" s="54" t="n"/>
      <c r="M195" s="31" t="n"/>
    </row>
    <row r="196" ht="14.25" customHeight="1">
      <c r="B196" s="55" t="n"/>
      <c r="C196" s="25" t="n"/>
      <c r="D196" s="25" t="n"/>
      <c r="E196" s="46" t="n"/>
      <c r="F196" s="67" t="n"/>
      <c r="G196" s="2">
        <f>+IF(Tableau1[[#This Row],[Fournisseur]]="","",IFERROR(VLOOKUP(Tableau1[[#This Row],[Fournisseur]],SuiviFrs,2,FALSE),"Vérifier la syntaxe : Fournisseur introuvable au niveau du suivi des conventions"))</f>
        <v/>
      </c>
      <c r="H196" s="7">
        <f>++IF(Tableau1[[#This Row],[Fournisseur]]="","",C196+G196-1)</f>
        <v/>
      </c>
      <c r="I196" s="8">
        <f>++IF(Tableau1[[#This Row],[Fournisseur]]="","",IF(H196-Tableau1[[#This Row],[Date Paiement Effectif]]&gt;0," ",H196-Tableau1[[#This Row],[Date Paiement Effectif]]))</f>
        <v/>
      </c>
      <c r="J196" s="9">
        <f>++IF(Tableau1[[#This Row],[Fournisseur]]="","",IF(Tableau1[[#This Row],[Date Paiement Effectif]]="","Non encore payée",IF(I196&lt;0,"Attention, paiement hors délais","OK RAS")))</f>
        <v/>
      </c>
      <c r="K196" s="54" t="n">
        <v>46107</v>
      </c>
      <c r="L196" s="54" t="n"/>
      <c r="M196" s="31" t="n"/>
    </row>
    <row r="197" ht="14.25" customHeight="1">
      <c r="B197" s="55" t="n"/>
      <c r="C197" s="25" t="n"/>
      <c r="D197" s="25" t="n"/>
      <c r="E197" s="46" t="n"/>
      <c r="F197" s="67" t="n"/>
      <c r="G197" s="2">
        <f>+IF(Tableau1[[#This Row],[Fournisseur]]="","",IFERROR(VLOOKUP(Tableau1[[#This Row],[Fournisseur]],SuiviFrs,2,FALSE),"Vérifier la syntaxe : Fournisseur introuvable au niveau du suivi des conventions"))</f>
        <v/>
      </c>
      <c r="H197" s="7">
        <f>++IF(Tableau1[[#This Row],[Fournisseur]]="","",C197+G197-1)</f>
        <v/>
      </c>
      <c r="I197" s="8">
        <f>++IF(Tableau1[[#This Row],[Fournisseur]]="","",IF(H197-Tableau1[[#This Row],[Date Paiement Effectif]]&gt;0," ",H197-Tableau1[[#This Row],[Date Paiement Effectif]]))</f>
        <v/>
      </c>
      <c r="J197" s="9">
        <f>++IF(Tableau1[[#This Row],[Fournisseur]]="","",IF(Tableau1[[#This Row],[Date Paiement Effectif]]="","Non encore payée",IF(I197&lt;0,"Attention, paiement hors délais","OK RAS")))</f>
        <v/>
      </c>
      <c r="K197" s="54" t="n">
        <v>46107</v>
      </c>
      <c r="L197" s="54" t="n"/>
      <c r="M197" s="31" t="n"/>
    </row>
    <row r="198" ht="14.25" customHeight="1">
      <c r="B198" s="55" t="n"/>
      <c r="C198" s="25" t="n"/>
      <c r="D198" s="25" t="n"/>
      <c r="E198" s="46" t="n"/>
      <c r="F198" s="67" t="n"/>
      <c r="G198" s="2">
        <f>+IF(Tableau1[[#This Row],[Fournisseur]]="","",IFERROR(VLOOKUP(Tableau1[[#This Row],[Fournisseur]],SuiviFrs,2,FALSE),"Vérifier la syntaxe : Fournisseur introuvable au niveau du suivi des conventions"))</f>
        <v/>
      </c>
      <c r="H198" s="7">
        <f>++IF(Tableau1[[#This Row],[Fournisseur]]="","",C198+G198-1)</f>
        <v/>
      </c>
      <c r="I198" s="8">
        <f>++IF(Tableau1[[#This Row],[Fournisseur]]="","",IF(H198-Tableau1[[#This Row],[Date Paiement Effectif]]&gt;0," ",H198-Tableau1[[#This Row],[Date Paiement Effectif]]))</f>
        <v/>
      </c>
      <c r="J198" s="9">
        <f>++IF(Tableau1[[#This Row],[Fournisseur]]="","",IF(Tableau1[[#This Row],[Date Paiement Effectif]]="","Non encore payée",IF(I198&lt;0,"Attention, paiement hors délais","OK RAS")))</f>
        <v/>
      </c>
      <c r="K198" s="54" t="n">
        <v>46107</v>
      </c>
      <c r="L198" s="54" t="n"/>
      <c r="M198" s="31" t="n"/>
    </row>
    <row r="199" ht="14.25" customHeight="1">
      <c r="B199" s="55" t="n"/>
      <c r="C199" s="25" t="n"/>
      <c r="D199" s="25" t="n"/>
      <c r="E199" s="46" t="n"/>
      <c r="F199" s="67" t="n"/>
      <c r="G199" s="2">
        <f>+IF(Tableau1[[#This Row],[Fournisseur]]="","",IFERROR(VLOOKUP(Tableau1[[#This Row],[Fournisseur]],SuiviFrs,2,FALSE),"Vérifier la syntaxe : Fournisseur introuvable au niveau du suivi des conventions"))</f>
        <v/>
      </c>
      <c r="H199" s="7">
        <f>++IF(Tableau1[[#This Row],[Fournisseur]]="","",C199+G199-1)</f>
        <v/>
      </c>
      <c r="I199" s="8">
        <f>++IF(Tableau1[[#This Row],[Fournisseur]]="","",IF(H199-Tableau1[[#This Row],[Date Paiement Effectif]]&gt;0," ",H199-Tableau1[[#This Row],[Date Paiement Effectif]]))</f>
        <v/>
      </c>
      <c r="J199" s="9">
        <f>++IF(Tableau1[[#This Row],[Fournisseur]]="","",IF(Tableau1[[#This Row],[Date Paiement Effectif]]="","Non encore payée",IF(I199&lt;0,"Attention, paiement hors délais","OK RAS")))</f>
        <v/>
      </c>
      <c r="K199" s="54" t="n">
        <v>46107</v>
      </c>
      <c r="L199" s="54" t="n"/>
      <c r="M199" s="31" t="n"/>
    </row>
    <row r="200" ht="14.25" customHeight="1">
      <c r="B200" s="55" t="n"/>
      <c r="C200" s="25" t="n"/>
      <c r="D200" s="25" t="n"/>
      <c r="E200" s="46" t="n"/>
      <c r="F200" s="67" t="n"/>
      <c r="G200" s="2">
        <f>+IF(Tableau1[[#This Row],[Fournisseur]]="","",IFERROR(VLOOKUP(Tableau1[[#This Row],[Fournisseur]],SuiviFrs,2,FALSE),"Vérifier la syntaxe : Fournisseur introuvable au niveau du suivi des conventions"))</f>
        <v/>
      </c>
      <c r="H200" s="7">
        <f>++IF(Tableau1[[#This Row],[Fournisseur]]="","",C200+G200-1)</f>
        <v/>
      </c>
      <c r="I200" s="8">
        <f>++IF(Tableau1[[#This Row],[Fournisseur]]="","",IF(H200-Tableau1[[#This Row],[Date Paiement Effectif]]&gt;0," ",H200-Tableau1[[#This Row],[Date Paiement Effectif]]))</f>
        <v/>
      </c>
      <c r="J200" s="9">
        <f>++IF(Tableau1[[#This Row],[Fournisseur]]="","",IF(Tableau1[[#This Row],[Date Paiement Effectif]]="","Non encore payée",IF(I200&lt;0,"Attention, paiement hors délais","OK RAS")))</f>
        <v/>
      </c>
      <c r="K200" s="54" t="n">
        <v>46107</v>
      </c>
      <c r="L200" s="54" t="n"/>
      <c r="M200" s="31" t="n"/>
    </row>
    <row r="201" ht="14.25" customHeight="1">
      <c r="B201" s="55" t="n"/>
      <c r="C201" s="25" t="n"/>
      <c r="D201" s="25" t="n"/>
      <c r="E201" s="46" t="n"/>
      <c r="F201" s="67" t="n"/>
      <c r="G201" s="2">
        <f>+IF(Tableau1[[#This Row],[Fournisseur]]="","",IFERROR(VLOOKUP(Tableau1[[#This Row],[Fournisseur]],SuiviFrs,2,FALSE),"Vérifier la syntaxe : Fournisseur introuvable au niveau du suivi des conventions"))</f>
        <v/>
      </c>
      <c r="H201" s="7">
        <f>++IF(Tableau1[[#This Row],[Fournisseur]]="","",C201+G201-1)</f>
        <v/>
      </c>
      <c r="I201" s="8">
        <f>++IF(Tableau1[[#This Row],[Fournisseur]]="","",IF(H201-Tableau1[[#This Row],[Date Paiement Effectif]]&gt;0," ",H201-Tableau1[[#This Row],[Date Paiement Effectif]]))</f>
        <v/>
      </c>
      <c r="J201" s="9">
        <f>++IF(Tableau1[[#This Row],[Fournisseur]]="","",IF(Tableau1[[#This Row],[Date Paiement Effectif]]="","Non encore payée",IF(I201&lt;0,"Attention, paiement hors délais","OK RAS")))</f>
        <v/>
      </c>
      <c r="K201" s="54" t="n">
        <v>46107</v>
      </c>
      <c r="L201" s="54" t="n"/>
      <c r="M201" s="31" t="n"/>
    </row>
    <row r="202" ht="14.25" customHeight="1">
      <c r="B202" s="55" t="n"/>
      <c r="C202" s="25" t="n"/>
      <c r="D202" s="25" t="n"/>
      <c r="E202" s="46" t="n"/>
      <c r="F202" s="67" t="n"/>
      <c r="G202" s="2">
        <f>+IF(Tableau1[[#This Row],[Fournisseur]]="","",IFERROR(VLOOKUP(Tableau1[[#This Row],[Fournisseur]],SuiviFrs,2,FALSE),"Vérifier la syntaxe : Fournisseur introuvable au niveau du suivi des conventions"))</f>
        <v/>
      </c>
      <c r="H202" s="7">
        <f>++IF(Tableau1[[#This Row],[Fournisseur]]="","",C202+G202-1)</f>
        <v/>
      </c>
      <c r="I202" s="8">
        <f>++IF(Tableau1[[#This Row],[Fournisseur]]="","",IF(H202-Tableau1[[#This Row],[Date Paiement Effectif]]&gt;0," ",H202-Tableau1[[#This Row],[Date Paiement Effectif]]))</f>
        <v/>
      </c>
      <c r="J202" s="9">
        <f>++IF(Tableau1[[#This Row],[Fournisseur]]="","",IF(Tableau1[[#This Row],[Date Paiement Effectif]]="","Non encore payée",IF(I202&lt;0,"Attention, paiement hors délais","OK RAS")))</f>
        <v/>
      </c>
      <c r="K202" s="54" t="n">
        <v>46107</v>
      </c>
      <c r="L202" s="54" t="n"/>
      <c r="M202" s="31" t="n"/>
    </row>
    <row r="203" ht="14.25" customHeight="1">
      <c r="B203" s="55" t="n"/>
      <c r="C203" s="25" t="n"/>
      <c r="D203" s="25" t="n"/>
      <c r="E203" s="46" t="n"/>
      <c r="F203" s="67" t="n"/>
      <c r="G203" s="2">
        <f>+IF(Tableau1[[#This Row],[Fournisseur]]="","",IFERROR(VLOOKUP(Tableau1[[#This Row],[Fournisseur]],SuiviFrs,2,FALSE),"Vérifier la syntaxe : Fournisseur introuvable au niveau du suivi des conventions"))</f>
        <v/>
      </c>
      <c r="H203" s="7">
        <f>++IF(Tableau1[[#This Row],[Fournisseur]]="","",C203+G203-1)</f>
        <v/>
      </c>
      <c r="I203" s="8">
        <f>++IF(Tableau1[[#This Row],[Fournisseur]]="","",IF(H203-Tableau1[[#This Row],[Date Paiement Effectif]]&gt;0," ",H203-Tableau1[[#This Row],[Date Paiement Effectif]]))</f>
        <v/>
      </c>
      <c r="J203" s="9">
        <f>++IF(Tableau1[[#This Row],[Fournisseur]]="","",IF(Tableau1[[#This Row],[Date Paiement Effectif]]="","Non encore payée",IF(I203&lt;0,"Attention, paiement hors délais","OK RAS")))</f>
        <v/>
      </c>
      <c r="K203" s="54" t="n">
        <v>46107</v>
      </c>
      <c r="L203" s="54" t="n"/>
      <c r="M203" s="31" t="n"/>
    </row>
    <row r="204" ht="14.25" customHeight="1">
      <c r="B204" s="55" t="n"/>
      <c r="C204" s="25" t="n"/>
      <c r="D204" s="25" t="n"/>
      <c r="E204" s="46" t="n"/>
      <c r="F204" s="67" t="n"/>
      <c r="G204" s="2">
        <f>+IF(Tableau1[[#This Row],[Fournisseur]]="","",IFERROR(VLOOKUP(Tableau1[[#This Row],[Fournisseur]],SuiviFrs,2,FALSE),"Vérifier la syntaxe : Fournisseur introuvable au niveau du suivi des conventions"))</f>
        <v/>
      </c>
      <c r="H204" s="7">
        <f>++IF(Tableau1[[#This Row],[Fournisseur]]="","",C204+G204-1)</f>
        <v/>
      </c>
      <c r="I204" s="8">
        <f>++IF(Tableau1[[#This Row],[Fournisseur]]="","",IF(H204-Tableau1[[#This Row],[Date Paiement Effectif]]&gt;0," ",H204-Tableau1[[#This Row],[Date Paiement Effectif]]))</f>
        <v/>
      </c>
      <c r="J204" s="9">
        <f>++IF(Tableau1[[#This Row],[Fournisseur]]="","",IF(Tableau1[[#This Row],[Date Paiement Effectif]]="","Non encore payée",IF(I204&lt;0,"Attention, paiement hors délais","OK RAS")))</f>
        <v/>
      </c>
      <c r="K204" s="54" t="n">
        <v>46107</v>
      </c>
      <c r="L204" s="54" t="n"/>
      <c r="M204" s="31" t="n"/>
    </row>
    <row r="205" ht="14.25" customHeight="1">
      <c r="B205" s="55" t="n"/>
      <c r="C205" s="25" t="n"/>
      <c r="D205" s="25" t="n"/>
      <c r="E205" s="46" t="n"/>
      <c r="F205" s="67" t="n"/>
      <c r="G205" s="2">
        <f>+IF(Tableau1[[#This Row],[Fournisseur]]="","",IFERROR(VLOOKUP(Tableau1[[#This Row],[Fournisseur]],SuiviFrs,2,FALSE),"Vérifier la syntaxe : Fournisseur introuvable au niveau du suivi des conventions"))</f>
        <v/>
      </c>
      <c r="H205" s="7">
        <f>++IF(Tableau1[[#This Row],[Fournisseur]]="","",C205+G205-1)</f>
        <v/>
      </c>
      <c r="I205" s="8">
        <f>++IF(Tableau1[[#This Row],[Fournisseur]]="","",IF(H205-Tableau1[[#This Row],[Date Paiement Effectif]]&gt;0," ",H205-Tableau1[[#This Row],[Date Paiement Effectif]]))</f>
        <v/>
      </c>
      <c r="J205" s="9">
        <f>++IF(Tableau1[[#This Row],[Fournisseur]]="","",IF(Tableau1[[#This Row],[Date Paiement Effectif]]="","Non encore payée",IF(I205&lt;0,"Attention, paiement hors délais","OK RAS")))</f>
        <v/>
      </c>
      <c r="K205" s="54" t="n">
        <v>46107</v>
      </c>
      <c r="L205" s="54" t="n"/>
      <c r="M205" s="31" t="n"/>
    </row>
    <row r="206" ht="14.25" customHeight="1">
      <c r="B206" s="55" t="n"/>
      <c r="C206" s="25" t="n"/>
      <c r="D206" s="25" t="n"/>
      <c r="E206" s="46" t="n"/>
      <c r="F206" s="67" t="n"/>
      <c r="G206" s="2">
        <f>+IF(Tableau1[[#This Row],[Fournisseur]]="","",IFERROR(VLOOKUP(Tableau1[[#This Row],[Fournisseur]],SuiviFrs,2,FALSE),"Vérifier la syntaxe : Fournisseur introuvable au niveau du suivi des conventions"))</f>
        <v/>
      </c>
      <c r="H206" s="7">
        <f>++IF(Tableau1[[#This Row],[Fournisseur]]="","",C206+G206-1)</f>
        <v/>
      </c>
      <c r="I206" s="8">
        <f>++IF(Tableau1[[#This Row],[Fournisseur]]="","",IF(H206-Tableau1[[#This Row],[Date Paiement Effectif]]&gt;0," ",H206-Tableau1[[#This Row],[Date Paiement Effectif]]))</f>
        <v/>
      </c>
      <c r="J206" s="9">
        <f>++IF(Tableau1[[#This Row],[Fournisseur]]="","",IF(Tableau1[[#This Row],[Date Paiement Effectif]]="","Non encore payée",IF(I206&lt;0,"Attention, paiement hors délais","OK RAS")))</f>
        <v/>
      </c>
      <c r="K206" s="54" t="n">
        <v>46107</v>
      </c>
      <c r="L206" s="54" t="n"/>
      <c r="M206" s="31" t="n"/>
    </row>
    <row r="207" ht="14.25" customHeight="1">
      <c r="B207" s="55" t="n"/>
      <c r="C207" s="25" t="n"/>
      <c r="D207" s="25" t="n"/>
      <c r="E207" s="46" t="n"/>
      <c r="F207" s="67" t="n"/>
      <c r="G207" s="2">
        <f>+IF(Tableau1[[#This Row],[Fournisseur]]="","",IFERROR(VLOOKUP(Tableau1[[#This Row],[Fournisseur]],SuiviFrs,2,FALSE),"Vérifier la syntaxe : Fournisseur introuvable au niveau du suivi des conventions"))</f>
        <v/>
      </c>
      <c r="H207" s="7">
        <f>++IF(Tableau1[[#This Row],[Fournisseur]]="","",C207+G207-1)</f>
        <v/>
      </c>
      <c r="I207" s="8">
        <f>++IF(Tableau1[[#This Row],[Fournisseur]]="","",IF(H207-Tableau1[[#This Row],[Date Paiement Effectif]]&gt;0," ",H207-Tableau1[[#This Row],[Date Paiement Effectif]]))</f>
        <v/>
      </c>
      <c r="J207" s="9">
        <f>++IF(Tableau1[[#This Row],[Fournisseur]]="","",IF(Tableau1[[#This Row],[Date Paiement Effectif]]="","Non encore payée",IF(I207&lt;0,"Attention, paiement hors délais","OK RAS")))</f>
        <v/>
      </c>
      <c r="K207" s="54" t="n">
        <v>46107</v>
      </c>
      <c r="L207" s="54" t="n"/>
      <c r="M207" s="31" t="n"/>
    </row>
    <row r="208" ht="14.25" customHeight="1">
      <c r="B208" s="55" t="n"/>
      <c r="C208" s="25" t="n"/>
      <c r="D208" s="25" t="n"/>
      <c r="E208" s="46" t="n"/>
      <c r="F208" s="67" t="n"/>
      <c r="G208" s="2">
        <f>+IF(Tableau1[[#This Row],[Fournisseur]]="","",IFERROR(VLOOKUP(Tableau1[[#This Row],[Fournisseur]],SuiviFrs,2,FALSE),"Vérifier la syntaxe : Fournisseur introuvable au niveau du suivi des conventions"))</f>
        <v/>
      </c>
      <c r="H208" s="7">
        <f>++IF(Tableau1[[#This Row],[Fournisseur]]="","",C208+G208-1)</f>
        <v/>
      </c>
      <c r="I208" s="8">
        <f>++IF(Tableau1[[#This Row],[Fournisseur]]="","",IF(H208-Tableau1[[#This Row],[Date Paiement Effectif]]&gt;0," ",H208-Tableau1[[#This Row],[Date Paiement Effectif]]))</f>
        <v/>
      </c>
      <c r="J208" s="9">
        <f>++IF(Tableau1[[#This Row],[Fournisseur]]="","",IF(Tableau1[[#This Row],[Date Paiement Effectif]]="","Non encore payée",IF(I208&lt;0,"Attention, paiement hors délais","OK RAS")))</f>
        <v/>
      </c>
      <c r="K208" s="54" t="n">
        <v>46107</v>
      </c>
      <c r="L208" s="54" t="n"/>
      <c r="M208" s="31" t="n"/>
    </row>
    <row r="209" ht="14.25" customHeight="1">
      <c r="B209" s="55" t="n"/>
      <c r="C209" s="25" t="n"/>
      <c r="D209" s="25" t="n"/>
      <c r="E209" s="46" t="n"/>
      <c r="F209" s="67" t="n"/>
      <c r="G209" s="2">
        <f>+IF(Tableau1[[#This Row],[Fournisseur]]="","",IFERROR(VLOOKUP(Tableau1[[#This Row],[Fournisseur]],SuiviFrs,2,FALSE),"Vérifier la syntaxe : Fournisseur introuvable au niveau du suivi des conventions"))</f>
        <v/>
      </c>
      <c r="H209" s="7">
        <f>++IF(Tableau1[[#This Row],[Fournisseur]]="","",C209+G209-1)</f>
        <v/>
      </c>
      <c r="I209" s="8">
        <f>++IF(Tableau1[[#This Row],[Fournisseur]]="","",IF(H209-Tableau1[[#This Row],[Date Paiement Effectif]]&gt;0," ",H209-Tableau1[[#This Row],[Date Paiement Effectif]]))</f>
        <v/>
      </c>
      <c r="J209" s="9">
        <f>++IF(Tableau1[[#This Row],[Fournisseur]]="","",IF(Tableau1[[#This Row],[Date Paiement Effectif]]="","Non encore payée",IF(I209&lt;0,"Attention, paiement hors délais","OK RAS")))</f>
        <v/>
      </c>
      <c r="K209" s="54" t="n">
        <v>46107</v>
      </c>
      <c r="L209" s="54" t="n"/>
      <c r="M209" s="31" t="n"/>
    </row>
    <row r="210" ht="14.25" customHeight="1">
      <c r="B210" s="55" t="n"/>
      <c r="C210" s="25" t="n"/>
      <c r="D210" s="25" t="n"/>
      <c r="E210" s="46" t="n"/>
      <c r="F210" s="67" t="n"/>
      <c r="G210" s="2">
        <f>+IF(Tableau1[[#This Row],[Fournisseur]]="","",IFERROR(VLOOKUP(Tableau1[[#This Row],[Fournisseur]],SuiviFrs,2,FALSE),"Vérifier la syntaxe : Fournisseur introuvable au niveau du suivi des conventions"))</f>
        <v/>
      </c>
      <c r="H210" s="7">
        <f>++IF(Tableau1[[#This Row],[Fournisseur]]="","",C210+G210-1)</f>
        <v/>
      </c>
      <c r="I210" s="8">
        <f>++IF(Tableau1[[#This Row],[Fournisseur]]="","",IF(H210-Tableau1[[#This Row],[Date Paiement Effectif]]&gt;0," ",H210-Tableau1[[#This Row],[Date Paiement Effectif]]))</f>
        <v/>
      </c>
      <c r="J210" s="9">
        <f>++IF(Tableau1[[#This Row],[Fournisseur]]="","",IF(Tableau1[[#This Row],[Date Paiement Effectif]]="","Non encore payée",IF(I210&lt;0,"Attention, paiement hors délais","OK RAS")))</f>
        <v/>
      </c>
      <c r="K210" s="54" t="n">
        <v>46107</v>
      </c>
      <c r="L210" s="54" t="n"/>
      <c r="M210" s="31" t="n"/>
    </row>
    <row r="211" ht="14.25" customHeight="1">
      <c r="B211" s="55" t="n"/>
      <c r="C211" s="25" t="n"/>
      <c r="D211" s="25" t="n"/>
      <c r="E211" s="46" t="n"/>
      <c r="F211" s="67" t="n"/>
      <c r="G211" s="2">
        <f>+IF(Tableau1[[#This Row],[Fournisseur]]="","",IFERROR(VLOOKUP(Tableau1[[#This Row],[Fournisseur]],SuiviFrs,2,FALSE),"Vérifier la syntaxe : Fournisseur introuvable au niveau du suivi des conventions"))</f>
        <v/>
      </c>
      <c r="H211" s="7">
        <f>++IF(Tableau1[[#This Row],[Fournisseur]]="","",C211+G211-1)</f>
        <v/>
      </c>
      <c r="I211" s="8">
        <f>++IF(Tableau1[[#This Row],[Fournisseur]]="","",IF(H211-Tableau1[[#This Row],[Date Paiement Effectif]]&gt;0," ",H211-Tableau1[[#This Row],[Date Paiement Effectif]]))</f>
        <v/>
      </c>
      <c r="J211" s="9">
        <f>++IF(Tableau1[[#This Row],[Fournisseur]]="","",IF(Tableau1[[#This Row],[Date Paiement Effectif]]="","Non encore payée",IF(I211&lt;0,"Attention, paiement hors délais","OK RAS")))</f>
        <v/>
      </c>
      <c r="K211" s="54" t="n">
        <v>46059</v>
      </c>
      <c r="L211" s="54" t="n"/>
      <c r="M211" s="31" t="n"/>
    </row>
    <row r="212" ht="14.25" customHeight="1">
      <c r="B212" s="55" t="n"/>
      <c r="C212" s="25" t="n"/>
      <c r="D212" s="25" t="n"/>
      <c r="E212" s="46" t="n"/>
      <c r="F212" s="67" t="n"/>
      <c r="G212" s="2">
        <f>+IF(Tableau1[[#This Row],[Fournisseur]]="","",IFERROR(VLOOKUP(Tableau1[[#This Row],[Fournisseur]],SuiviFrs,2,FALSE),"Vérifier la syntaxe : Fournisseur introuvable au niveau du suivi des conventions"))</f>
        <v/>
      </c>
      <c r="H212" s="7">
        <f>++IF(Tableau1[[#This Row],[Fournisseur]]="","",C212+G212-1)</f>
        <v/>
      </c>
      <c r="I212" s="8">
        <f>++IF(Tableau1[[#This Row],[Fournisseur]]="","",IF(H212-Tableau1[[#This Row],[Date Paiement Effectif]]&gt;0," ",H212-Tableau1[[#This Row],[Date Paiement Effectif]]))</f>
        <v/>
      </c>
      <c r="J212" s="9">
        <f>++IF(Tableau1[[#This Row],[Fournisseur]]="","",IF(Tableau1[[#This Row],[Date Paiement Effectif]]="","Non encore payée",IF(I212&lt;0,"Attention, paiement hors délais","OK RAS")))</f>
        <v/>
      </c>
      <c r="K212" s="54" t="n">
        <v>46107</v>
      </c>
      <c r="L212" s="54" t="n"/>
      <c r="M212" s="31" t="n"/>
    </row>
    <row r="213" ht="14.25" customHeight="1">
      <c r="B213" s="55" t="n"/>
      <c r="C213" s="25" t="n"/>
      <c r="D213" s="25" t="n"/>
      <c r="E213" s="26" t="n"/>
      <c r="F213" s="67" t="n"/>
      <c r="G213" s="2">
        <f>+IF(Tableau1[[#This Row],[Fournisseur]]="","",IFERROR(VLOOKUP(Tableau1[[#This Row],[Fournisseur]],SuiviFrs,2,FALSE),"Vérifier la syntaxe : Fournisseur introuvable au niveau du suivi des conventions"))</f>
        <v/>
      </c>
      <c r="H213" s="7">
        <f>++IF(Tableau1[[#This Row],[Fournisseur]]="","",C213+G213-1)</f>
        <v/>
      </c>
      <c r="I213" s="8">
        <f>++IF(Tableau1[[#This Row],[Fournisseur]]="","",IF(H213-Tableau1[[#This Row],[Date Paiement Effectif]]&gt;0," ",H213-Tableau1[[#This Row],[Date Paiement Effectif]]))</f>
        <v/>
      </c>
      <c r="J213" s="9">
        <f>++IF(Tableau1[[#This Row],[Fournisseur]]="","",IF(Tableau1[[#This Row],[Date Paiement Effectif]]="","Non encore payée",IF(I213&lt;0,"Attention, paiement hors délais","OK RAS")))</f>
        <v/>
      </c>
      <c r="K213" s="54" t="n">
        <v>46107</v>
      </c>
      <c r="L213" s="54" t="n"/>
      <c r="M213" s="31" t="n"/>
    </row>
    <row r="214" ht="14.25" customHeight="1">
      <c r="B214" s="55" t="n"/>
      <c r="C214" s="25" t="n"/>
      <c r="D214" s="25" t="n"/>
      <c r="E214" s="26" t="n"/>
      <c r="F214" s="67" t="n"/>
      <c r="G214" s="2">
        <f>+IF(Tableau1[[#This Row],[Fournisseur]]="","",IFERROR(VLOOKUP(Tableau1[[#This Row],[Fournisseur]],SuiviFrs,2,FALSE),"Vérifier la syntaxe : Fournisseur introuvable au niveau du suivi des conventions"))</f>
        <v/>
      </c>
      <c r="H214" s="7">
        <f>++IF(Tableau1[[#This Row],[Fournisseur]]="","",C214+G214-1)</f>
        <v/>
      </c>
      <c r="I214" s="8">
        <f>++IF(Tableau1[[#This Row],[Fournisseur]]="","",IF(H214-Tableau1[[#This Row],[Date Paiement Effectif]]&gt;0," ",H214-Tableau1[[#This Row],[Date Paiement Effectif]]))</f>
        <v/>
      </c>
      <c r="J214" s="9">
        <f>++IF(Tableau1[[#This Row],[Fournisseur]]="","",IF(Tableau1[[#This Row],[Date Paiement Effectif]]="","Non encore payée",IF(I214&lt;0,"Attention, paiement hors délais","OK RAS")))</f>
        <v/>
      </c>
      <c r="K214" s="31" t="n"/>
      <c r="L214" s="31" t="n"/>
      <c r="M214" s="31" t="n"/>
    </row>
    <row r="215" ht="14.25" customHeight="1">
      <c r="B215" s="55" t="n"/>
      <c r="C215" s="25" t="n"/>
      <c r="D215" s="25" t="n"/>
      <c r="E215" s="46" t="n"/>
      <c r="F215" s="67" t="n"/>
      <c r="G215" s="2">
        <f>+IF(Tableau1[[#This Row],[Fournisseur]]="","",IFERROR(VLOOKUP(Tableau1[[#This Row],[Fournisseur]],SuiviFrs,2,FALSE),"Vérifier la syntaxe : Fournisseur introuvable au niveau du suivi des conventions"))</f>
        <v/>
      </c>
      <c r="H215" s="7">
        <f>++IF(Tableau1[[#This Row],[Fournisseur]]="","",C215+G215-1)</f>
        <v/>
      </c>
      <c r="I215" s="8">
        <f>++IF(Tableau1[[#This Row],[Fournisseur]]="","",IF(H215-Tableau1[[#This Row],[Date Paiement Effectif]]&gt;0," ",H215-Tableau1[[#This Row],[Date Paiement Effectif]]))</f>
        <v/>
      </c>
      <c r="J215" s="9">
        <f>++IF(Tableau1[[#This Row],[Fournisseur]]="","",IF(Tableau1[[#This Row],[Date Paiement Effectif]]="","Non encore payée",IF(I215&lt;0,"Attention, paiement hors délais","OK RAS")))</f>
        <v/>
      </c>
      <c r="K215" s="31" t="n"/>
      <c r="L215" s="31" t="n"/>
      <c r="M215" s="31" t="n"/>
    </row>
    <row r="216" ht="14.25" customHeight="1">
      <c r="B216" s="55" t="n"/>
      <c r="C216" s="25" t="n"/>
      <c r="D216" s="25" t="n"/>
      <c r="E216" s="46" t="n"/>
      <c r="F216" s="67" t="n"/>
      <c r="G216" s="2">
        <f>+IF(Tableau1[[#This Row],[Fournisseur]]="","",IFERROR(VLOOKUP(Tableau1[[#This Row],[Fournisseur]],SuiviFrs,2,FALSE),"Vérifier la syntaxe : Fournisseur introuvable au niveau du suivi des conventions"))</f>
        <v/>
      </c>
      <c r="H216" s="7">
        <f>++IF(Tableau1[[#This Row],[Fournisseur]]="","",C216+G216-1)</f>
        <v/>
      </c>
      <c r="I216" s="8">
        <f>++IF(Tableau1[[#This Row],[Fournisseur]]="","",IF(H216-Tableau1[[#This Row],[Date Paiement Effectif]]&gt;0," ",H216-Tableau1[[#This Row],[Date Paiement Effectif]]))</f>
        <v/>
      </c>
      <c r="J216" s="9">
        <f>++IF(Tableau1[[#This Row],[Fournisseur]]="","",IF(Tableau1[[#This Row],[Date Paiement Effectif]]="","Non encore payée",IF(I216&lt;0,"Attention, paiement hors délais","OK RAS")))</f>
        <v/>
      </c>
      <c r="K216" s="31" t="n"/>
      <c r="L216" s="31" t="n"/>
      <c r="M216" s="31" t="n"/>
    </row>
    <row r="217" ht="14.25" customHeight="1">
      <c r="B217" s="55" t="n"/>
      <c r="C217" s="25" t="n"/>
      <c r="D217" s="25" t="n"/>
      <c r="E217" s="46" t="n"/>
      <c r="F217" s="67" t="n"/>
      <c r="G217" s="2">
        <f>+IF(Tableau1[[#This Row],[Fournisseur]]="","",IFERROR(VLOOKUP(Tableau1[[#This Row],[Fournisseur]],SuiviFrs,2,FALSE),"Vérifier la syntaxe : Fournisseur introuvable au niveau du suivi des conventions"))</f>
        <v/>
      </c>
      <c r="H217" s="7">
        <f>++IF(Tableau1[[#This Row],[Fournisseur]]="","",C217+G217-1)</f>
        <v/>
      </c>
      <c r="I217" s="8">
        <f>++IF(Tableau1[[#This Row],[Fournisseur]]="","",IF(H217-Tableau1[[#This Row],[Date Paiement Effectif]]&gt;0," ",H217-Tableau1[[#This Row],[Date Paiement Effectif]]))</f>
        <v/>
      </c>
      <c r="J217" s="9">
        <f>++IF(Tableau1[[#This Row],[Fournisseur]]="","",IF(Tableau1[[#This Row],[Date Paiement Effectif]]="","Non encore payée",IF(I217&lt;0,"Attention, paiement hors délais","OK RAS")))</f>
        <v/>
      </c>
      <c r="K217" s="31" t="n"/>
      <c r="L217" s="31" t="n"/>
      <c r="M217" s="31" t="n"/>
    </row>
    <row r="218" ht="14.25" customHeight="1">
      <c r="B218" s="55" t="n"/>
      <c r="C218" s="25" t="n"/>
      <c r="D218" s="25" t="n"/>
      <c r="E218" s="46" t="n"/>
      <c r="F218" s="67" t="n"/>
      <c r="G218" s="2">
        <f>+IF(Tableau1[[#This Row],[Fournisseur]]="","",IFERROR(VLOOKUP(Tableau1[[#This Row],[Fournisseur]],SuiviFrs,2,FALSE),"Vérifier la syntaxe : Fournisseur introuvable au niveau du suivi des conventions"))</f>
        <v/>
      </c>
      <c r="H218" s="7">
        <f>++IF(Tableau1[[#This Row],[Fournisseur]]="","",C218+G218-1)</f>
        <v/>
      </c>
      <c r="I218" s="8">
        <f>++IF(Tableau1[[#This Row],[Fournisseur]]="","",IF(H218-Tableau1[[#This Row],[Date Paiement Effectif]]&gt;0," ",H218-Tableau1[[#This Row],[Date Paiement Effectif]]))</f>
        <v/>
      </c>
      <c r="J218" s="9">
        <f>++IF(Tableau1[[#This Row],[Fournisseur]]="","",IF(Tableau1[[#This Row],[Date Paiement Effectif]]="","Non encore payée",IF(I218&lt;0,"Attention, paiement hors délais","OK RAS")))</f>
        <v/>
      </c>
      <c r="K218" s="31" t="n"/>
      <c r="L218" s="31" t="n"/>
      <c r="M218" s="31" t="n"/>
    </row>
    <row r="219" ht="14.25" customHeight="1">
      <c r="B219" s="55" t="n"/>
      <c r="C219" s="25" t="n"/>
      <c r="D219" s="25" t="n"/>
      <c r="E219" s="46" t="n"/>
      <c r="F219" s="67" t="n"/>
      <c r="G219" s="2">
        <f>+IF(Tableau1[[#This Row],[Fournisseur]]="","",IFERROR(VLOOKUP(Tableau1[[#This Row],[Fournisseur]],SuiviFrs,2,FALSE),"Vérifier la syntaxe : Fournisseur introuvable au niveau du suivi des conventions"))</f>
        <v/>
      </c>
      <c r="H219" s="7">
        <f>++IF(Tableau1[[#This Row],[Fournisseur]]="","",C219+G219-1)</f>
        <v/>
      </c>
      <c r="I219" s="8">
        <f>++IF(Tableau1[[#This Row],[Fournisseur]]="","",IF(H219-Tableau1[[#This Row],[Date Paiement Effectif]]&gt;0," ",H219-Tableau1[[#This Row],[Date Paiement Effectif]]))</f>
        <v/>
      </c>
      <c r="J219" s="9">
        <f>++IF(Tableau1[[#This Row],[Fournisseur]]="","",IF(Tableau1[[#This Row],[Date Paiement Effectif]]="","Non encore payée",IF(I219&lt;0,"Attention, paiement hors délais","OK RAS")))</f>
        <v/>
      </c>
      <c r="K219" s="31" t="n"/>
      <c r="L219" s="31" t="n"/>
      <c r="M219" s="31" t="n"/>
    </row>
    <row r="220" ht="14.25" customHeight="1">
      <c r="B220" s="55" t="n"/>
      <c r="C220" s="25" t="n"/>
      <c r="D220" s="25" t="n"/>
      <c r="E220" s="46" t="n"/>
      <c r="F220" s="67" t="n"/>
      <c r="G220" s="2">
        <f>+IF(Tableau1[[#This Row],[Fournisseur]]="","",IFERROR(VLOOKUP(Tableau1[[#This Row],[Fournisseur]],SuiviFrs,2,FALSE),"Vérifier la syntaxe : Fournisseur introuvable au niveau du suivi des conventions"))</f>
        <v/>
      </c>
      <c r="H220" s="7">
        <f>++IF(Tableau1[[#This Row],[Fournisseur]]="","",C220+G220-1)</f>
        <v/>
      </c>
      <c r="I220" s="8">
        <f>++IF(Tableau1[[#This Row],[Fournisseur]]="","",IF(H220-Tableau1[[#This Row],[Date Paiement Effectif]]&gt;0," ",H220-Tableau1[[#This Row],[Date Paiement Effectif]]))</f>
        <v/>
      </c>
      <c r="J220" s="9">
        <f>++IF(Tableau1[[#This Row],[Fournisseur]]="","",IF(Tableau1[[#This Row],[Date Paiement Effectif]]="","Non encore payée",IF(I220&lt;0,"Attention, paiement hors délais","OK RAS")))</f>
        <v/>
      </c>
      <c r="K220" s="31" t="n"/>
      <c r="L220" s="31" t="n"/>
      <c r="M220" s="31" t="n"/>
    </row>
    <row r="221" ht="14.25" customHeight="1">
      <c r="B221" s="55" t="n"/>
      <c r="C221" s="25" t="n"/>
      <c r="D221" s="25" t="n"/>
      <c r="E221" s="46" t="n"/>
      <c r="F221" s="67" t="n"/>
      <c r="G221" s="2">
        <f>+IF(Tableau1[[#This Row],[Fournisseur]]="","",IFERROR(VLOOKUP(Tableau1[[#This Row],[Fournisseur]],SuiviFrs,2,FALSE),"Vérifier la syntaxe : Fournisseur introuvable au niveau du suivi des conventions"))</f>
        <v/>
      </c>
      <c r="H221" s="7">
        <f>++IF(Tableau1[[#This Row],[Fournisseur]]="","",C221+G221-1)</f>
        <v/>
      </c>
      <c r="I221" s="8">
        <f>++IF(Tableau1[[#This Row],[Fournisseur]]="","",IF(H221-Tableau1[[#This Row],[Date Paiement Effectif]]&gt;0," ",H221-Tableau1[[#This Row],[Date Paiement Effectif]]))</f>
        <v/>
      </c>
      <c r="J221" s="9">
        <f>++IF(Tableau1[[#This Row],[Fournisseur]]="","",IF(Tableau1[[#This Row],[Date Paiement Effectif]]="","Non encore payée",IF(I221&lt;0,"Attention, paiement hors délais","OK RAS")))</f>
        <v/>
      </c>
      <c r="K221" s="31" t="n"/>
      <c r="L221" s="31" t="n"/>
      <c r="M221" s="31" t="n"/>
    </row>
    <row r="222" ht="14.25" customHeight="1">
      <c r="B222" s="55" t="n"/>
      <c r="C222" s="25" t="n"/>
      <c r="D222" s="25" t="n"/>
      <c r="E222" s="46" t="n"/>
      <c r="F222" s="67" t="n"/>
      <c r="G222" s="2">
        <f>+IF(Tableau1[[#This Row],[Fournisseur]]="","",IFERROR(VLOOKUP(Tableau1[[#This Row],[Fournisseur]],SuiviFrs,2,FALSE),"Vérifier la syntaxe : Fournisseur introuvable au niveau du suivi des conventions"))</f>
        <v/>
      </c>
      <c r="H222" s="7">
        <f>++IF(Tableau1[[#This Row],[Fournisseur]]="","",C222+G222-1)</f>
        <v/>
      </c>
      <c r="I222" s="8">
        <f>++IF(Tableau1[[#This Row],[Fournisseur]]="","",IF(H222-Tableau1[[#This Row],[Date Paiement Effectif]]&gt;0," ",H222-Tableau1[[#This Row],[Date Paiement Effectif]]))</f>
        <v/>
      </c>
      <c r="J222" s="9">
        <f>++IF(Tableau1[[#This Row],[Fournisseur]]="","",IF(Tableau1[[#This Row],[Date Paiement Effectif]]="","Non encore payée",IF(I222&lt;0,"Attention, paiement hors délais","OK RAS")))</f>
        <v/>
      </c>
      <c r="K222" s="31" t="n"/>
      <c r="L222" s="31" t="n"/>
      <c r="M222" s="31" t="n"/>
    </row>
    <row r="223" ht="14.25" customHeight="1">
      <c r="B223" s="55" t="n"/>
      <c r="C223" s="25" t="n"/>
      <c r="D223" s="25" t="n"/>
      <c r="E223" s="46" t="n"/>
      <c r="F223" s="67" t="n"/>
      <c r="G223" s="2">
        <f>+IF(Tableau1[[#This Row],[Fournisseur]]="","",IFERROR(VLOOKUP(Tableau1[[#This Row],[Fournisseur]],SuiviFrs,2,FALSE),"Vérifier la syntaxe : Fournisseur introuvable au niveau du suivi des conventions"))</f>
        <v/>
      </c>
      <c r="H223" s="7">
        <f>++IF(Tableau1[[#This Row],[Fournisseur]]="","",C223+G223-1)</f>
        <v/>
      </c>
      <c r="I223" s="8">
        <f>++IF(Tableau1[[#This Row],[Fournisseur]]="","",IF(H223-Tableau1[[#This Row],[Date Paiement Effectif]]&gt;0," ",H223-Tableau1[[#This Row],[Date Paiement Effectif]]))</f>
        <v/>
      </c>
      <c r="J223" s="9">
        <f>++IF(Tableau1[[#This Row],[Fournisseur]]="","",IF(Tableau1[[#This Row],[Date Paiement Effectif]]="","Non encore payée",IF(I223&lt;0,"Attention, paiement hors délais","OK RAS")))</f>
        <v/>
      </c>
      <c r="K223" s="31" t="n"/>
      <c r="L223" s="31" t="n"/>
      <c r="M223" s="31" t="n"/>
    </row>
    <row r="224" ht="14.25" customHeight="1">
      <c r="B224" s="55" t="n"/>
      <c r="C224" s="25" t="n"/>
      <c r="D224" s="25" t="n"/>
      <c r="E224" s="46" t="n"/>
      <c r="F224" s="67" t="n"/>
      <c r="G224" s="2">
        <f>+IF(Tableau1[[#This Row],[Fournisseur]]="","",IFERROR(VLOOKUP(Tableau1[[#This Row],[Fournisseur]],SuiviFrs,2,FALSE),"Vérifier la syntaxe : Fournisseur introuvable au niveau du suivi des conventions"))</f>
        <v/>
      </c>
      <c r="H224" s="7">
        <f>++IF(Tableau1[[#This Row],[Fournisseur]]="","",C224+G224-1)</f>
        <v/>
      </c>
      <c r="I224" s="8">
        <f>++IF(Tableau1[[#This Row],[Fournisseur]]="","",IF(H224-Tableau1[[#This Row],[Date Paiement Effectif]]&gt;0," ",H224-Tableau1[[#This Row],[Date Paiement Effectif]]))</f>
        <v/>
      </c>
      <c r="J224" s="9">
        <f>++IF(Tableau1[[#This Row],[Fournisseur]]="","",IF(Tableau1[[#This Row],[Date Paiement Effectif]]="","Non encore payée",IF(I224&lt;0,"Attention, paiement hors délais","OK RAS")))</f>
        <v/>
      </c>
      <c r="K224" s="31" t="n"/>
      <c r="L224" s="31" t="n"/>
      <c r="M224" s="31" t="n"/>
    </row>
    <row r="225" ht="14.25" customHeight="1">
      <c r="B225" s="55" t="n"/>
      <c r="C225" s="25" t="n"/>
      <c r="D225" s="25" t="n"/>
      <c r="E225" s="26" t="n"/>
      <c r="F225" s="67" t="n"/>
      <c r="G225" s="2">
        <f>+IF(Tableau1[[#This Row],[Fournisseur]]="","",IFERROR(VLOOKUP(Tableau1[[#This Row],[Fournisseur]],SuiviFrs,2,FALSE),"Vérifier la syntaxe : Fournisseur introuvable au niveau du suivi des conventions"))</f>
        <v/>
      </c>
      <c r="H225" s="7">
        <f>++IF(Tableau1[[#This Row],[Fournisseur]]="","",C225+G225-1)</f>
        <v/>
      </c>
      <c r="I225" s="8">
        <f>++IF(Tableau1[[#This Row],[Fournisseur]]="","",IF(H225-Tableau1[[#This Row],[Date Paiement Effectif]]&gt;0," ",H225-Tableau1[[#This Row],[Date Paiement Effectif]]))</f>
        <v/>
      </c>
      <c r="J225" s="9">
        <f>++IF(Tableau1[[#This Row],[Fournisseur]]="","",IF(Tableau1[[#This Row],[Date Paiement Effectif]]="","Non encore payée",IF(I225&lt;0,"Attention, paiement hors délais","OK RAS")))</f>
        <v/>
      </c>
      <c r="K225" s="31" t="n"/>
      <c r="L225" s="31" t="n"/>
      <c r="M225" s="31" t="n"/>
    </row>
    <row r="226" ht="14.25" customHeight="1">
      <c r="B226" s="55" t="n"/>
      <c r="C226" s="25" t="n"/>
      <c r="D226" s="25" t="n"/>
      <c r="E226" s="26" t="n"/>
      <c r="F226" s="67" t="n"/>
      <c r="G226" s="2">
        <f>+IF(Tableau1[[#This Row],[Fournisseur]]="","",IFERROR(VLOOKUP(Tableau1[[#This Row],[Fournisseur]],SuiviFrs,2,FALSE),"Vérifier la syntaxe : Fournisseur introuvable au niveau du suivi des conventions"))</f>
        <v/>
      </c>
      <c r="H226" s="7">
        <f>++IF(Tableau1[[#This Row],[Fournisseur]]="","",C226+G226-1)</f>
        <v/>
      </c>
      <c r="I226" s="8">
        <f>++IF(Tableau1[[#This Row],[Fournisseur]]="","",IF(H226-Tableau1[[#This Row],[Date Paiement Effectif]]&gt;0," ",H226-Tableau1[[#This Row],[Date Paiement Effectif]]))</f>
        <v/>
      </c>
      <c r="J226" s="9">
        <f>++IF(Tableau1[[#This Row],[Fournisseur]]="","",IF(Tableau1[[#This Row],[Date Paiement Effectif]]="","Non encore payée",IF(I226&lt;0,"Attention, paiement hors délais","OK RAS")))</f>
        <v/>
      </c>
      <c r="K226" s="31" t="n"/>
      <c r="L226" s="31" t="n"/>
      <c r="M226" s="31" t="n"/>
    </row>
    <row r="227" ht="14.25" customHeight="1">
      <c r="B227" s="55" t="n"/>
      <c r="C227" s="25" t="n"/>
      <c r="D227" s="25" t="n"/>
      <c r="E227" s="46" t="n"/>
      <c r="F227" s="67" t="n"/>
      <c r="G227" s="2">
        <f>+IF(Tableau1[[#This Row],[Fournisseur]]="","",IFERROR(VLOOKUP(Tableau1[[#This Row],[Fournisseur]],SuiviFrs,2,FALSE),"Vérifier la syntaxe : Fournisseur introuvable au niveau du suivi des conventions"))</f>
        <v/>
      </c>
      <c r="H227" s="7">
        <f>++IF(Tableau1[[#This Row],[Fournisseur]]="","",C227+G227-1)</f>
        <v/>
      </c>
      <c r="I227" s="8">
        <f>++IF(Tableau1[[#This Row],[Fournisseur]]="","",IF(H227-Tableau1[[#This Row],[Date Paiement Effectif]]&gt;0," ",H227-Tableau1[[#This Row],[Date Paiement Effectif]]))</f>
        <v/>
      </c>
      <c r="J227" s="9">
        <f>++IF(Tableau1[[#This Row],[Fournisseur]]="","",IF(Tableau1[[#This Row],[Date Paiement Effectif]]="","Non encore payée",IF(I227&lt;0,"Attention, paiement hors délais","OK RAS")))</f>
        <v/>
      </c>
      <c r="K227" s="54" t="n">
        <v>46107</v>
      </c>
      <c r="L227" s="54" t="n"/>
      <c r="M227" s="31" t="n"/>
    </row>
    <row r="228" ht="14.25" customHeight="1">
      <c r="B228" s="55" t="n"/>
      <c r="C228" s="25" t="n"/>
      <c r="D228" s="25" t="n"/>
      <c r="E228" s="46" t="n"/>
      <c r="F228" s="67" t="n"/>
      <c r="G228" s="2">
        <f>+IF(Tableau1[[#This Row],[Fournisseur]]="","",IFERROR(VLOOKUP(Tableau1[[#This Row],[Fournisseur]],SuiviFrs,2,FALSE),"Vérifier la syntaxe : Fournisseur introuvable au niveau du suivi des conventions"))</f>
        <v/>
      </c>
      <c r="H228" s="7">
        <f>++IF(Tableau1[[#This Row],[Fournisseur]]="","",C228+G228-1)</f>
        <v/>
      </c>
      <c r="I228" s="8">
        <f>++IF(Tableau1[[#This Row],[Fournisseur]]="","",IF(H228-Tableau1[[#This Row],[Date Paiement Effectif]]&gt;0," ",H228-Tableau1[[#This Row],[Date Paiement Effectif]]))</f>
        <v/>
      </c>
      <c r="J228" s="9">
        <f>++IF(Tableau1[[#This Row],[Fournisseur]]="","",IF(Tableau1[[#This Row],[Date Paiement Effectif]]="","Non encore payée",IF(I228&lt;0,"Attention, paiement hors délais","OK RAS")))</f>
        <v/>
      </c>
      <c r="K228" s="54" t="n">
        <v>46107</v>
      </c>
      <c r="L228" s="54" t="n"/>
      <c r="M228" s="31" t="n"/>
    </row>
    <row r="229" ht="14.25" customHeight="1">
      <c r="B229" s="55" t="n"/>
      <c r="C229" s="25" t="n"/>
      <c r="D229" s="25" t="n"/>
      <c r="E229" s="46" t="n"/>
      <c r="F229" s="67" t="n"/>
      <c r="G229" s="2">
        <f>+IF(Tableau1[[#This Row],[Fournisseur]]="","",IFERROR(VLOOKUP(Tableau1[[#This Row],[Fournisseur]],SuiviFrs,2,FALSE),"Vérifier la syntaxe : Fournisseur introuvable au niveau du suivi des conventions"))</f>
        <v/>
      </c>
      <c r="H229" s="7">
        <f>++IF(Tableau1[[#This Row],[Fournisseur]]="","",C229+G229-1)</f>
        <v/>
      </c>
      <c r="I229" s="8">
        <f>++IF(Tableau1[[#This Row],[Fournisseur]]="","",IF(H229-Tableau1[[#This Row],[Date Paiement Effectif]]&gt;0," ",H229-Tableau1[[#This Row],[Date Paiement Effectif]]))</f>
        <v/>
      </c>
      <c r="J229" s="9">
        <f>++IF(Tableau1[[#This Row],[Fournisseur]]="","",IF(Tableau1[[#This Row],[Date Paiement Effectif]]="","Non encore payée",IF(I229&lt;0,"Attention, paiement hors délais","OK RAS")))</f>
        <v/>
      </c>
      <c r="K229" s="54" t="n">
        <v>46107</v>
      </c>
      <c r="L229" s="54" t="n"/>
      <c r="M229" s="31" t="n"/>
    </row>
    <row r="230" ht="14.25" customHeight="1">
      <c r="B230" s="55" t="n"/>
      <c r="C230" s="25" t="n"/>
      <c r="D230" s="25" t="n"/>
      <c r="E230" s="46" t="n"/>
      <c r="F230" s="67" t="n"/>
      <c r="G230" s="2">
        <f>+IF(Tableau1[[#This Row],[Fournisseur]]="","",IFERROR(VLOOKUP(Tableau1[[#This Row],[Fournisseur]],SuiviFrs,2,FALSE),"Vérifier la syntaxe : Fournisseur introuvable au niveau du suivi des conventions"))</f>
        <v/>
      </c>
      <c r="H230" s="7">
        <f>++IF(Tableau1[[#This Row],[Fournisseur]]="","",C230+G230-1)</f>
        <v/>
      </c>
      <c r="I230" s="8">
        <f>++IF(Tableau1[[#This Row],[Fournisseur]]="","",IF(H230-Tableau1[[#This Row],[Date Paiement Effectif]]&gt;0," ",H230-Tableau1[[#This Row],[Date Paiement Effectif]]))</f>
        <v/>
      </c>
      <c r="J230" s="9">
        <f>++IF(Tableau1[[#This Row],[Fournisseur]]="","",IF(Tableau1[[#This Row],[Date Paiement Effectif]]="","Non encore payée",IF(I230&lt;0,"Attention, paiement hors délais","OK RAS")))</f>
        <v/>
      </c>
      <c r="K230" s="54" t="n">
        <v>46107</v>
      </c>
      <c r="L230" s="54" t="n"/>
      <c r="M230" s="31" t="n"/>
    </row>
    <row r="231" ht="14.25" customHeight="1">
      <c r="B231" s="55" t="n"/>
      <c r="C231" s="25" t="n"/>
      <c r="D231" s="25" t="n"/>
      <c r="E231" s="46" t="n"/>
      <c r="F231" s="67" t="n"/>
      <c r="G231" s="2">
        <f>+IF(Tableau1[[#This Row],[Fournisseur]]="","",IFERROR(VLOOKUP(Tableau1[[#This Row],[Fournisseur]],SuiviFrs,2,FALSE),"Vérifier la syntaxe : Fournisseur introuvable au niveau du suivi des conventions"))</f>
        <v/>
      </c>
      <c r="H231" s="7">
        <f>++IF(Tableau1[[#This Row],[Fournisseur]]="","",C231+G231-1)</f>
        <v/>
      </c>
      <c r="I231" s="8">
        <f>++IF(Tableau1[[#This Row],[Fournisseur]]="","",IF(H231-Tableau1[[#This Row],[Date Paiement Effectif]]&gt;0," ",H231-Tableau1[[#This Row],[Date Paiement Effectif]]))</f>
        <v/>
      </c>
      <c r="J231" s="9">
        <f>++IF(Tableau1[[#This Row],[Fournisseur]]="","",IF(Tableau1[[#This Row],[Date Paiement Effectif]]="","Non encore payée",IF(I231&lt;0,"Attention, paiement hors délais","OK RAS")))</f>
        <v/>
      </c>
      <c r="K231" s="54" t="n">
        <v>46043</v>
      </c>
      <c r="L231" s="54" t="n"/>
      <c r="M231" s="31" t="n"/>
    </row>
    <row r="232" ht="14.25" customHeight="1">
      <c r="B232" s="55" t="n"/>
      <c r="C232" s="25" t="n"/>
      <c r="D232" s="25" t="n"/>
      <c r="E232" s="26" t="n"/>
      <c r="F232" s="67" t="n"/>
      <c r="G232" s="2">
        <f>+IF(Tableau1[[#This Row],[Fournisseur]]="","",IFERROR(VLOOKUP(Tableau1[[#This Row],[Fournisseur]],SuiviFrs,2,FALSE),"Vérifier la syntaxe : Fournisseur introuvable au niveau du suivi des conventions"))</f>
        <v/>
      </c>
      <c r="H232" s="7">
        <f>++IF(Tableau1[[#This Row],[Fournisseur]]="","",C232+G232-1)</f>
        <v/>
      </c>
      <c r="I232" s="8">
        <f>++IF(Tableau1[[#This Row],[Fournisseur]]="","",IF(H232-Tableau1[[#This Row],[Date Paiement Effectif]]&gt;0," ",H232-Tableau1[[#This Row],[Date Paiement Effectif]]))</f>
        <v/>
      </c>
      <c r="J232" s="9">
        <f>++IF(Tableau1[[#This Row],[Fournisseur]]="","",IF(Tableau1[[#This Row],[Date Paiement Effectif]]="","Non encore payée",IF(I232&lt;0,"Attention, paiement hors délais","OK RAS")))</f>
        <v/>
      </c>
      <c r="K232" s="54" t="n">
        <v>46199</v>
      </c>
      <c r="L232" s="54" t="n"/>
      <c r="M232" s="31" t="n"/>
    </row>
    <row r="233" ht="14.25" customHeight="1">
      <c r="B233" s="55" t="n"/>
      <c r="C233" s="25" t="n"/>
      <c r="D233" s="25" t="n"/>
      <c r="E233" s="26" t="n"/>
      <c r="F233" s="67" t="n"/>
      <c r="G233" s="2">
        <f>+IF(Tableau1[[#This Row],[Fournisseur]]="","",IFERROR(VLOOKUP(Tableau1[[#This Row],[Fournisseur]],SuiviFrs,2,FALSE),"Vérifier la syntaxe : Fournisseur introuvable au niveau du suivi des conventions"))</f>
        <v/>
      </c>
      <c r="H233" s="7">
        <f>++IF(Tableau1[[#This Row],[Fournisseur]]="","",C233+G233-1)</f>
        <v/>
      </c>
      <c r="I233" s="8">
        <f>++IF(Tableau1[[#This Row],[Fournisseur]]="","",IF(H233-Tableau1[[#This Row],[Date Paiement Effectif]]&gt;0," ",H233-Tableau1[[#This Row],[Date Paiement Effectif]]))</f>
        <v/>
      </c>
      <c r="J233" s="9">
        <f>++IF(Tableau1[[#This Row],[Fournisseur]]="","",IF(Tableau1[[#This Row],[Date Paiement Effectif]]="","Non encore payée",IF(I233&lt;0,"Attention, paiement hors délais","OK RAS")))</f>
        <v/>
      </c>
      <c r="K233" s="54" t="n">
        <v>46199</v>
      </c>
      <c r="L233" s="54" t="n"/>
      <c r="M233" s="31" t="n"/>
    </row>
    <row r="234" ht="14.25" customHeight="1">
      <c r="B234" s="55" t="n"/>
      <c r="C234" s="25" t="n"/>
      <c r="D234" s="25" t="n"/>
      <c r="E234" s="26" t="n"/>
      <c r="F234" s="67" t="n"/>
      <c r="G234" s="2">
        <f>+IF(Tableau1[[#This Row],[Fournisseur]]="","",IFERROR(VLOOKUP(Tableau1[[#This Row],[Fournisseur]],SuiviFrs,2,FALSE),"Vérifier la syntaxe : Fournisseur introuvable au niveau du suivi des conventions"))</f>
        <v/>
      </c>
      <c r="H234" s="7">
        <f>++IF(Tableau1[[#This Row],[Fournisseur]]="","",C234+G234-1)</f>
        <v/>
      </c>
      <c r="I234" s="8">
        <f>++IF(Tableau1[[#This Row],[Fournisseur]]="","",IF(H234-Tableau1[[#This Row],[Date Paiement Effectif]]&gt;0," ",H234-Tableau1[[#This Row],[Date Paiement Effectif]]))</f>
        <v/>
      </c>
      <c r="J234" s="9">
        <f>++IF(Tableau1[[#This Row],[Fournisseur]]="","",IF(Tableau1[[#This Row],[Date Paiement Effectif]]="","Non encore payée",IF(I234&lt;0,"Attention, paiement hors délais","OK RAS")))</f>
        <v/>
      </c>
      <c r="K234" s="54" t="n">
        <v>46199</v>
      </c>
      <c r="L234" s="54" t="n"/>
      <c r="M234" s="31" t="n"/>
    </row>
    <row r="235" ht="14.25" customHeight="1">
      <c r="B235" s="55" t="n"/>
      <c r="C235" s="25" t="n"/>
      <c r="D235" s="25" t="n"/>
      <c r="E235" s="46" t="n"/>
      <c r="F235" s="67" t="n"/>
      <c r="G235" s="2">
        <f>+IF(Tableau1[[#This Row],[Fournisseur]]="","",IFERROR(VLOOKUP(Tableau1[[#This Row],[Fournisseur]],SuiviFrs,2,FALSE),"Vérifier la syntaxe : Fournisseur introuvable au niveau du suivi des conventions"))</f>
        <v/>
      </c>
      <c r="H235" s="7">
        <f>++IF(Tableau1[[#This Row],[Fournisseur]]="","",C235+G235-1)</f>
        <v/>
      </c>
      <c r="I235" s="8">
        <f>++IF(Tableau1[[#This Row],[Fournisseur]]="","",IF(H235-Tableau1[[#This Row],[Date Paiement Effectif]]&gt;0," ",H235-Tableau1[[#This Row],[Date Paiement Effectif]]))</f>
        <v/>
      </c>
      <c r="J235" s="9">
        <f>++IF(Tableau1[[#This Row],[Fournisseur]]="","",IF(Tableau1[[#This Row],[Date Paiement Effectif]]="","Non encore payée",IF(I235&lt;0,"Attention, paiement hors délais","OK RAS")))</f>
        <v/>
      </c>
      <c r="K235" s="54" t="n">
        <v>46203</v>
      </c>
      <c r="L235" s="54" t="n"/>
      <c r="M235" s="31" t="n"/>
    </row>
    <row r="236" ht="14.25" customHeight="1">
      <c r="B236" s="55" t="n"/>
      <c r="C236" s="25" t="n"/>
      <c r="D236" s="25" t="n"/>
      <c r="E236" s="46" t="n"/>
      <c r="F236" s="67" t="n"/>
      <c r="G236" s="2">
        <f>+IF(Tableau1[[#This Row],[Fournisseur]]="","",IFERROR(VLOOKUP(Tableau1[[#This Row],[Fournisseur]],SuiviFrs,2,FALSE),"Vérifier la syntaxe : Fournisseur introuvable au niveau du suivi des conventions"))</f>
        <v/>
      </c>
      <c r="H236" s="7">
        <f>++IF(Tableau1[[#This Row],[Fournisseur]]="","",C236+G236-1)</f>
        <v/>
      </c>
      <c r="I236" s="8">
        <f>++IF(Tableau1[[#This Row],[Fournisseur]]="","",IF(H236-Tableau1[[#This Row],[Date Paiement Effectif]]&gt;0," ",H236-Tableau1[[#This Row],[Date Paiement Effectif]]))</f>
        <v/>
      </c>
      <c r="J236" s="9">
        <f>++IF(Tableau1[[#This Row],[Fournisseur]]="","",IF(Tableau1[[#This Row],[Date Paiement Effectif]]="","Non encore payée",IF(I236&lt;0,"Attention, paiement hors délais","OK RAS")))</f>
        <v/>
      </c>
      <c r="K236" s="54" t="n">
        <v>46203</v>
      </c>
      <c r="L236" s="54" t="n"/>
      <c r="M236" s="31" t="n"/>
    </row>
    <row r="237" ht="14.25" customHeight="1">
      <c r="B237" s="55" t="n"/>
      <c r="C237" s="25" t="n"/>
      <c r="D237" s="25" t="n"/>
      <c r="E237" s="46" t="n"/>
      <c r="F237" s="67" t="n"/>
      <c r="G237" s="2">
        <f>+IF(Tableau1[[#This Row],[Fournisseur]]="","",IFERROR(VLOOKUP(Tableau1[[#This Row],[Fournisseur]],SuiviFrs,2,FALSE),"Vérifier la syntaxe : Fournisseur introuvable au niveau du suivi des conventions"))</f>
        <v/>
      </c>
      <c r="H237" s="7">
        <f>++IF(Tableau1[[#This Row],[Fournisseur]]="","",C237+G237-1)</f>
        <v/>
      </c>
      <c r="I237" s="8">
        <f>++IF(Tableau1[[#This Row],[Fournisseur]]="","",IF(H237-Tableau1[[#This Row],[Date Paiement Effectif]]&gt;0," ",H237-Tableau1[[#This Row],[Date Paiement Effectif]]))</f>
        <v/>
      </c>
      <c r="J237" s="9">
        <f>++IF(Tableau1[[#This Row],[Fournisseur]]="","",IF(Tableau1[[#This Row],[Date Paiement Effectif]]="","Non encore payée",IF(I237&lt;0,"Attention, paiement hors délais","OK RAS")))</f>
        <v/>
      </c>
      <c r="K237" s="54" t="n">
        <v>46203</v>
      </c>
      <c r="L237" s="54" t="n"/>
      <c r="M237" s="31" t="n"/>
    </row>
    <row r="238" ht="14.25" customHeight="1">
      <c r="B238" s="55" t="n"/>
      <c r="C238" s="25" t="n"/>
      <c r="D238" s="25" t="n"/>
      <c r="E238" s="46" t="n"/>
      <c r="F238" s="67" t="n"/>
      <c r="G238" s="2">
        <f>+IF(Tableau1[[#This Row],[Fournisseur]]="","",IFERROR(VLOOKUP(Tableau1[[#This Row],[Fournisseur]],SuiviFrs,2,FALSE),"Vérifier la syntaxe : Fournisseur introuvable au niveau du suivi des conventions"))</f>
        <v/>
      </c>
      <c r="H238" s="7">
        <f>++IF(Tableau1[[#This Row],[Fournisseur]]="","",C238+G238-1)</f>
        <v/>
      </c>
      <c r="I238" s="8">
        <f>++IF(Tableau1[[#This Row],[Fournisseur]]="","",IF(H238-Tableau1[[#This Row],[Date Paiement Effectif]]&gt;0," ",H238-Tableau1[[#This Row],[Date Paiement Effectif]]))</f>
        <v/>
      </c>
      <c r="J238" s="9">
        <f>++IF(Tableau1[[#This Row],[Fournisseur]]="","",IF(Tableau1[[#This Row],[Date Paiement Effectif]]="","Non encore payée",IF(I238&lt;0,"Attention, paiement hors délais","OK RAS")))</f>
        <v/>
      </c>
      <c r="K238" s="54" t="n">
        <v>46203</v>
      </c>
      <c r="L238" s="54" t="n"/>
      <c r="M238" s="31" t="n"/>
    </row>
    <row r="239" ht="14.25" customHeight="1">
      <c r="B239" s="55" t="n"/>
      <c r="C239" s="25" t="n"/>
      <c r="D239" s="25" t="n"/>
      <c r="E239" s="46" t="n"/>
      <c r="F239" s="67" t="n"/>
      <c r="G239" s="2">
        <f>+IF(Tableau1[[#This Row],[Fournisseur]]="","",IFERROR(VLOOKUP(Tableau1[[#This Row],[Fournisseur]],SuiviFrs,2,FALSE),"Vérifier la syntaxe : Fournisseur introuvable au niveau du suivi des conventions"))</f>
        <v/>
      </c>
      <c r="H239" s="7">
        <f>++IF(Tableau1[[#This Row],[Fournisseur]]="","",C239+G239-1)</f>
        <v/>
      </c>
      <c r="I239" s="8">
        <f>++IF(Tableau1[[#This Row],[Fournisseur]]="","",IF(H239-Tableau1[[#This Row],[Date Paiement Effectif]]&gt;0," ",H239-Tableau1[[#This Row],[Date Paiement Effectif]]))</f>
        <v/>
      </c>
      <c r="J239" s="9">
        <f>++IF(Tableau1[[#This Row],[Fournisseur]]="","",IF(Tableau1[[#This Row],[Date Paiement Effectif]]="","Non encore payée",IF(I239&lt;0,"Attention, paiement hors délais","OK RAS")))</f>
        <v/>
      </c>
      <c r="K239" s="54" t="n">
        <v>46203</v>
      </c>
      <c r="L239" s="54" t="n"/>
      <c r="M239" s="31" t="n"/>
    </row>
    <row r="240" ht="14.25" customHeight="1">
      <c r="B240" s="55" t="n"/>
      <c r="C240" s="25" t="n"/>
      <c r="D240" s="25" t="n"/>
      <c r="E240" s="46" t="n"/>
      <c r="F240" s="67" t="n"/>
      <c r="G240" s="2">
        <f>+IF(Tableau1[[#This Row],[Fournisseur]]="","",IFERROR(VLOOKUP(Tableau1[[#This Row],[Fournisseur]],SuiviFrs,2,FALSE),"Vérifier la syntaxe : Fournisseur introuvable au niveau du suivi des conventions"))</f>
        <v/>
      </c>
      <c r="H240" s="7">
        <f>++IF(Tableau1[[#This Row],[Fournisseur]]="","",C240+G240-1)</f>
        <v/>
      </c>
      <c r="I240" s="8">
        <f>++IF(Tableau1[[#This Row],[Fournisseur]]="","",IF(H240-Tableau1[[#This Row],[Date Paiement Effectif]]&gt;0," ",H240-Tableau1[[#This Row],[Date Paiement Effectif]]))</f>
        <v/>
      </c>
      <c r="J240" s="9">
        <f>++IF(Tableau1[[#This Row],[Fournisseur]]="","",IF(Tableau1[[#This Row],[Date Paiement Effectif]]="","Non encore payée",IF(I240&lt;0,"Attention, paiement hors délais","OK RAS")))</f>
        <v/>
      </c>
      <c r="K240" s="54" t="n">
        <v>46204</v>
      </c>
      <c r="L240" s="54" t="n"/>
      <c r="M240" s="31" t="n"/>
    </row>
    <row r="241" ht="14.25" customHeight="1">
      <c r="B241" s="55" t="n"/>
      <c r="C241" s="25" t="n"/>
      <c r="D241" s="25" t="n"/>
      <c r="E241" s="46" t="n"/>
      <c r="F241" s="67" t="n"/>
      <c r="G241" s="2">
        <f>+IF(Tableau1[[#This Row],[Fournisseur]]="","",IFERROR(VLOOKUP(Tableau1[[#This Row],[Fournisseur]],SuiviFrs,2,FALSE),"Vérifier la syntaxe : Fournisseur introuvable au niveau du suivi des conventions"))</f>
        <v/>
      </c>
      <c r="H241" s="7">
        <f>++IF(Tableau1[[#This Row],[Fournisseur]]="","",C241+G241-1)</f>
        <v/>
      </c>
      <c r="I241" s="8">
        <f>++IF(Tableau1[[#This Row],[Fournisseur]]="","",IF(H241-Tableau1[[#This Row],[Date Paiement Effectif]]&gt;0," ",H241-Tableau1[[#This Row],[Date Paiement Effectif]]))</f>
        <v/>
      </c>
      <c r="J241" s="9">
        <f>++IF(Tableau1[[#This Row],[Fournisseur]]="","",IF(Tableau1[[#This Row],[Date Paiement Effectif]]="","Non encore payée",IF(I241&lt;0,"Attention, paiement hors délais","OK RAS")))</f>
        <v/>
      </c>
      <c r="K241" s="54" t="n">
        <v>46204</v>
      </c>
      <c r="L241" s="54" t="n"/>
      <c r="M241" s="31" t="n"/>
    </row>
    <row r="242" ht="14.25" customHeight="1">
      <c r="B242" s="55" t="n"/>
      <c r="C242" s="25" t="n"/>
      <c r="D242" s="25" t="n"/>
      <c r="E242" s="46" t="n"/>
      <c r="F242" s="67" t="n"/>
      <c r="G242" s="2">
        <f>+IF(Tableau1[[#This Row],[Fournisseur]]="","",IFERROR(VLOOKUP(Tableau1[[#This Row],[Fournisseur]],SuiviFrs,2,FALSE),"Vérifier la syntaxe : Fournisseur introuvable au niveau du suivi des conventions"))</f>
        <v/>
      </c>
      <c r="H242" s="7">
        <f>++IF(Tableau1[[#This Row],[Fournisseur]]="","",C242+G242-1)</f>
        <v/>
      </c>
      <c r="I242" s="8">
        <f>++IF(Tableau1[[#This Row],[Fournisseur]]="","",IF(H242-Tableau1[[#This Row],[Date Paiement Effectif]]&gt;0," ",H242-Tableau1[[#This Row],[Date Paiement Effectif]]))</f>
        <v/>
      </c>
      <c r="J242" s="9">
        <f>++IF(Tableau1[[#This Row],[Fournisseur]]="","",IF(Tableau1[[#This Row],[Date Paiement Effectif]]="","Non encore payée",IF(I242&lt;0,"Attention, paiement hors délais","OK RAS")))</f>
        <v/>
      </c>
      <c r="K242" s="54" t="n">
        <v>46204</v>
      </c>
      <c r="L242" s="54" t="n"/>
      <c r="M242" s="31" t="n"/>
    </row>
    <row r="243" ht="14.25" customHeight="1">
      <c r="B243" s="55" t="n"/>
      <c r="C243" s="25" t="n"/>
      <c r="D243" s="25" t="n"/>
      <c r="E243" s="46" t="n"/>
      <c r="F243" s="67" t="n"/>
      <c r="G243" s="2">
        <f>+IF(Tableau1[[#This Row],[Fournisseur]]="","",IFERROR(VLOOKUP(Tableau1[[#This Row],[Fournisseur]],SuiviFrs,2,FALSE),"Vérifier la syntaxe : Fournisseur introuvable au niveau du suivi des conventions"))</f>
        <v/>
      </c>
      <c r="H243" s="7">
        <f>++IF(Tableau1[[#This Row],[Fournisseur]]="","",C243+G243-1)</f>
        <v/>
      </c>
      <c r="I243" s="8">
        <f>++IF(Tableau1[[#This Row],[Fournisseur]]="","",IF(H243-Tableau1[[#This Row],[Date Paiement Effectif]]&gt;0," ",H243-Tableau1[[#This Row],[Date Paiement Effectif]]))</f>
        <v/>
      </c>
      <c r="J243" s="9">
        <f>++IF(Tableau1[[#This Row],[Fournisseur]]="","",IF(Tableau1[[#This Row],[Date Paiement Effectif]]="","Non encore payée",IF(I243&lt;0,"Attention, paiement hors délais","OK RAS")))</f>
        <v/>
      </c>
      <c r="K243" s="54" t="n">
        <v>46204</v>
      </c>
      <c r="L243" s="54" t="n"/>
      <c r="M243" s="31" t="n"/>
    </row>
    <row r="244" ht="14.25" customHeight="1">
      <c r="B244" s="55" t="n"/>
      <c r="C244" s="25" t="n"/>
      <c r="D244" s="25" t="n"/>
      <c r="E244" s="46" t="n"/>
      <c r="F244" s="67" t="n"/>
      <c r="G244" s="2">
        <f>+IF(Tableau1[[#This Row],[Fournisseur]]="","",IFERROR(VLOOKUP(Tableau1[[#This Row],[Fournisseur]],SuiviFrs,2,FALSE),"Vérifier la syntaxe : Fournisseur introuvable au niveau du suivi des conventions"))</f>
        <v/>
      </c>
      <c r="H244" s="7">
        <f>++IF(Tableau1[[#This Row],[Fournisseur]]="","",C244+G244-1)</f>
        <v/>
      </c>
      <c r="I244" s="8">
        <f>++IF(Tableau1[[#This Row],[Fournisseur]]="","",IF(H244-Tableau1[[#This Row],[Date Paiement Effectif]]&gt;0," ",H244-Tableau1[[#This Row],[Date Paiement Effectif]]))</f>
        <v/>
      </c>
      <c r="J244" s="9">
        <f>++IF(Tableau1[[#This Row],[Fournisseur]]="","",IF(Tableau1[[#This Row],[Date Paiement Effectif]]="","Non encore payée",IF(I244&lt;0,"Attention, paiement hors délais","OK RAS")))</f>
        <v/>
      </c>
      <c r="K244" s="54" t="n">
        <v>46199</v>
      </c>
      <c r="L244" s="54" t="n"/>
      <c r="M244" s="31" t="n"/>
    </row>
    <row r="245" ht="14.25" customHeight="1">
      <c r="B245" s="55" t="n"/>
      <c r="C245" s="25" t="n"/>
      <c r="D245" s="25" t="n"/>
      <c r="E245" s="46" t="n"/>
      <c r="F245" s="67" t="n"/>
      <c r="G245" s="2">
        <f>+IF(Tableau1[[#This Row],[Fournisseur]]="","",IFERROR(VLOOKUP(Tableau1[[#This Row],[Fournisseur]],SuiviFrs,2,FALSE),"Vérifier la syntaxe : Fournisseur introuvable au niveau du suivi des conventions"))</f>
        <v/>
      </c>
      <c r="H245" s="7">
        <f>++IF(Tableau1[[#This Row],[Fournisseur]]="","",C245+G245-1)</f>
        <v/>
      </c>
      <c r="I245" s="8">
        <f>++IF(Tableau1[[#This Row],[Fournisseur]]="","",IF(H245-Tableau1[[#This Row],[Date Paiement Effectif]]&gt;0," ",H245-Tableau1[[#This Row],[Date Paiement Effectif]]))</f>
        <v/>
      </c>
      <c r="J245" s="9">
        <f>++IF(Tableau1[[#This Row],[Fournisseur]]="","",IF(Tableau1[[#This Row],[Date Paiement Effectif]]="","Non encore payée",IF(I245&lt;0,"Attention, paiement hors délais","OK RAS")))</f>
        <v/>
      </c>
      <c r="K245" s="54" t="n">
        <v>46199</v>
      </c>
      <c r="L245" s="54" t="n"/>
      <c r="M245" s="31" t="n"/>
    </row>
    <row r="246" ht="14.25" customHeight="1">
      <c r="B246" s="55" t="n"/>
      <c r="C246" s="25" t="n"/>
      <c r="D246" s="25" t="n"/>
      <c r="E246" s="46" t="n"/>
      <c r="F246" s="67" t="n"/>
      <c r="G246" s="2">
        <f>+IF(Tableau1[[#This Row],[Fournisseur]]="","",IFERROR(VLOOKUP(Tableau1[[#This Row],[Fournisseur]],SuiviFrs,2,FALSE),"Vérifier la syntaxe : Fournisseur introuvable au niveau du suivi des conventions"))</f>
        <v/>
      </c>
      <c r="H246" s="7">
        <f>++IF(Tableau1[[#This Row],[Fournisseur]]="","",C246+G246-1)</f>
        <v/>
      </c>
      <c r="I246" s="8">
        <f>++IF(Tableau1[[#This Row],[Fournisseur]]="","",IF(H246-Tableau1[[#This Row],[Date Paiement Effectif]]&gt;0," ",H246-Tableau1[[#This Row],[Date Paiement Effectif]]))</f>
        <v/>
      </c>
      <c r="J246" s="9">
        <f>++IF(Tableau1[[#This Row],[Fournisseur]]="","",IF(Tableau1[[#This Row],[Date Paiement Effectif]]="","Non encore payée",IF(I246&lt;0,"Attention, paiement hors délais","OK RAS")))</f>
        <v/>
      </c>
      <c r="K246" s="54" t="n">
        <v>46199</v>
      </c>
      <c r="L246" s="54" t="n"/>
      <c r="M246" s="31" t="n"/>
    </row>
    <row r="247" ht="14.25" customHeight="1">
      <c r="B247" s="55" t="n"/>
      <c r="C247" s="25" t="n"/>
      <c r="D247" s="25" t="n"/>
      <c r="E247" s="46" t="n"/>
      <c r="F247" s="67" t="n"/>
      <c r="G247" s="2">
        <f>+IF(Tableau1[[#This Row],[Fournisseur]]="","",IFERROR(VLOOKUP(Tableau1[[#This Row],[Fournisseur]],SuiviFrs,2,FALSE),"Vérifier la syntaxe : Fournisseur introuvable au niveau du suivi des conventions"))</f>
        <v/>
      </c>
      <c r="H247" s="7">
        <f>++IF(Tableau1[[#This Row],[Fournisseur]]="","",C247+G247-1)</f>
        <v/>
      </c>
      <c r="I247" s="8">
        <f>++IF(Tableau1[[#This Row],[Fournisseur]]="","",IF(H247-Tableau1[[#This Row],[Date Paiement Effectif]]&gt;0," ",H247-Tableau1[[#This Row],[Date Paiement Effectif]]))</f>
        <v/>
      </c>
      <c r="J247" s="9">
        <f>++IF(Tableau1[[#This Row],[Fournisseur]]="","",IF(Tableau1[[#This Row],[Date Paiement Effectif]]="","Non encore payée",IF(I247&lt;0,"Attention, paiement hors délais","OK RAS")))</f>
        <v/>
      </c>
      <c r="K247" s="54" t="n">
        <v>46199</v>
      </c>
      <c r="L247" s="54" t="n"/>
      <c r="M247" s="31" t="n"/>
    </row>
    <row r="248" ht="14.25" customHeight="1">
      <c r="B248" s="55" t="n"/>
      <c r="C248" s="25" t="n"/>
      <c r="D248" s="25" t="n"/>
      <c r="E248" s="46" t="n"/>
      <c r="F248" s="67" t="n"/>
      <c r="G248" s="2">
        <f>+IF(Tableau1[[#This Row],[Fournisseur]]="","",IFERROR(VLOOKUP(Tableau1[[#This Row],[Fournisseur]],SuiviFrs,2,FALSE),"Vérifier la syntaxe : Fournisseur introuvable au niveau du suivi des conventions"))</f>
        <v/>
      </c>
      <c r="H248" s="7">
        <f>++IF(Tableau1[[#This Row],[Fournisseur]]="","",C248+G248-1)</f>
        <v/>
      </c>
      <c r="I248" s="8">
        <f>++IF(Tableau1[[#This Row],[Fournisseur]]="","",IF(H248-Tableau1[[#This Row],[Date Paiement Effectif]]&gt;0," ",H248-Tableau1[[#This Row],[Date Paiement Effectif]]))</f>
        <v/>
      </c>
      <c r="J248" s="9">
        <f>++IF(Tableau1[[#This Row],[Fournisseur]]="","",IF(Tableau1[[#This Row],[Date Paiement Effectif]]="","Non encore payée",IF(I248&lt;0,"Attention, paiement hors délais","OK RAS")))</f>
        <v/>
      </c>
      <c r="K248" s="54" t="n">
        <v>46199</v>
      </c>
      <c r="L248" s="54" t="n"/>
      <c r="M248" s="31" t="n"/>
    </row>
    <row r="249" ht="14.25" customHeight="1">
      <c r="B249" s="55" t="n"/>
      <c r="C249" s="25" t="n"/>
      <c r="D249" s="25" t="n"/>
      <c r="E249" s="46" t="n"/>
      <c r="F249" s="67" t="n"/>
      <c r="G249" s="2">
        <f>+IF(Tableau1[[#This Row],[Fournisseur]]="","",IFERROR(VLOOKUP(Tableau1[[#This Row],[Fournisseur]],SuiviFrs,2,FALSE),"Vérifier la syntaxe : Fournisseur introuvable au niveau du suivi des conventions"))</f>
        <v/>
      </c>
      <c r="H249" s="7">
        <f>++IF(Tableau1[[#This Row],[Fournisseur]]="","",C249+G249-1)</f>
        <v/>
      </c>
      <c r="I249" s="8">
        <f>++IF(Tableau1[[#This Row],[Fournisseur]]="","",IF(H249-Tableau1[[#This Row],[Date Paiement Effectif]]&gt;0," ",H249-Tableau1[[#This Row],[Date Paiement Effectif]]))</f>
        <v/>
      </c>
      <c r="J249" s="9">
        <f>++IF(Tableau1[[#This Row],[Fournisseur]]="","",IF(Tableau1[[#This Row],[Date Paiement Effectif]]="","Non encore payée",IF(I249&lt;0,"Attention, paiement hors délais","OK RAS")))</f>
        <v/>
      </c>
      <c r="K249" s="54" t="n">
        <v>46199</v>
      </c>
      <c r="L249" s="54" t="n"/>
      <c r="M249" s="31" t="n"/>
    </row>
    <row r="250" ht="14.25" customHeight="1">
      <c r="B250" s="55" t="n"/>
      <c r="C250" s="25" t="n"/>
      <c r="D250" s="25" t="n"/>
      <c r="E250" s="26" t="n"/>
      <c r="F250" s="67" t="n"/>
      <c r="G250" s="2">
        <f>+IF(Tableau1[[#This Row],[Fournisseur]]="","",IFERROR(VLOOKUP(Tableau1[[#This Row],[Fournisseur]],SuiviFrs,2,FALSE),"Vérifier la syntaxe : Fournisseur introuvable au niveau du suivi des conventions"))</f>
        <v/>
      </c>
      <c r="H250" s="7">
        <f>++IF(Tableau1[[#This Row],[Fournisseur]]="","",C250+G250-1)</f>
        <v/>
      </c>
      <c r="I250" s="8">
        <f>++IF(Tableau1[[#This Row],[Fournisseur]]="","",IF(H250-Tableau1[[#This Row],[Date Paiement Effectif]]&gt;0," ",H250-Tableau1[[#This Row],[Date Paiement Effectif]]))</f>
        <v/>
      </c>
      <c r="J250" s="9">
        <f>++IF(Tableau1[[#This Row],[Fournisseur]]="","",IF(Tableau1[[#This Row],[Date Paiement Effectif]]="","Non encore payée",IF(I250&lt;0,"Attention, paiement hors délais","OK RAS")))</f>
        <v/>
      </c>
      <c r="K250" s="31" t="n"/>
      <c r="L250" s="31" t="n"/>
      <c r="M250" s="31" t="n"/>
    </row>
    <row r="251" ht="14.25" customHeight="1">
      <c r="B251" s="55" t="n"/>
      <c r="C251" s="25" t="n"/>
      <c r="D251" s="25" t="n"/>
      <c r="E251" s="26" t="n"/>
      <c r="F251" s="67" t="n"/>
      <c r="G251" s="2">
        <f>+IF(Tableau1[[#This Row],[Fournisseur]]="","",IFERROR(VLOOKUP(Tableau1[[#This Row],[Fournisseur]],SuiviFrs,2,FALSE),"Vérifier la syntaxe : Fournisseur introuvable au niveau du suivi des conventions"))</f>
        <v/>
      </c>
      <c r="H251" s="7">
        <f>++IF(Tableau1[[#This Row],[Fournisseur]]="","",C251+G251-1)</f>
        <v/>
      </c>
      <c r="I251" s="8">
        <f>++IF(Tableau1[[#This Row],[Fournisseur]]="","",IF(H251-Tableau1[[#This Row],[Date Paiement Effectif]]&gt;0," ",H251-Tableau1[[#This Row],[Date Paiement Effectif]]))</f>
        <v/>
      </c>
      <c r="J251" s="9">
        <f>++IF(Tableau1[[#This Row],[Fournisseur]]="","",IF(Tableau1[[#This Row],[Date Paiement Effectif]]="","Non encore payée",IF(I251&lt;0,"Attention, paiement hors délais","OK RAS")))</f>
        <v/>
      </c>
      <c r="K251" s="31" t="n"/>
      <c r="L251" s="31" t="n"/>
      <c r="M251" s="31" t="n"/>
    </row>
    <row r="252" ht="14.25" customHeight="1">
      <c r="B252" s="55" t="n"/>
      <c r="C252" s="25" t="n"/>
      <c r="D252" s="25" t="n"/>
      <c r="E252" s="26" t="n"/>
      <c r="F252" s="67" t="n"/>
      <c r="G252" s="2">
        <f>+IF(Tableau1[[#This Row],[Fournisseur]]="","",IFERROR(VLOOKUP(Tableau1[[#This Row],[Fournisseur]],SuiviFrs,2,FALSE),"Vérifier la syntaxe : Fournisseur introuvable au niveau du suivi des conventions"))</f>
        <v/>
      </c>
      <c r="H252" s="7">
        <f>++IF(Tableau1[[#This Row],[Fournisseur]]="","",C252+G252-1)</f>
        <v/>
      </c>
      <c r="I252" s="8">
        <f>++IF(Tableau1[[#This Row],[Fournisseur]]="","",IF(H252-Tableau1[[#This Row],[Date Paiement Effectif]]&gt;0," ",H252-Tableau1[[#This Row],[Date Paiement Effectif]]))</f>
        <v/>
      </c>
      <c r="J252" s="9">
        <f>++IF(Tableau1[[#This Row],[Fournisseur]]="","",IF(Tableau1[[#This Row],[Date Paiement Effectif]]="","Non encore payée",IF(I252&lt;0,"Attention, paiement hors délais","OK RAS")))</f>
        <v/>
      </c>
      <c r="K252" s="31" t="n"/>
      <c r="L252" s="31" t="n"/>
      <c r="M252" s="31" t="n"/>
    </row>
    <row r="253" ht="14.25" customHeight="1">
      <c r="B253" s="55" t="n"/>
      <c r="C253" s="25" t="n"/>
      <c r="D253" s="25" t="n"/>
      <c r="E253" s="46" t="n"/>
      <c r="F253" s="67" t="n"/>
      <c r="G253" s="2">
        <f>+IF(Tableau1[[#This Row],[Fournisseur]]="","",IFERROR(VLOOKUP(Tableau1[[#This Row],[Fournisseur]],SuiviFrs,2,FALSE),"Vérifier la syntaxe : Fournisseur introuvable au niveau du suivi des conventions"))</f>
        <v/>
      </c>
      <c r="H253" s="7">
        <f>++IF(Tableau1[[#This Row],[Fournisseur]]="","",C253+G253-1)</f>
        <v/>
      </c>
      <c r="I253" s="8">
        <f>++IF(Tableau1[[#This Row],[Fournisseur]]="","",IF(H253-Tableau1[[#This Row],[Date Paiement Effectif]]&gt;0," ",H253-Tableau1[[#This Row],[Date Paiement Effectif]]))</f>
        <v/>
      </c>
      <c r="J253" s="9">
        <f>++IF(Tableau1[[#This Row],[Fournisseur]]="","",IF(Tableau1[[#This Row],[Date Paiement Effectif]]="","Non encore payée",IF(I253&lt;0,"Attention, paiement hors délais","OK RAS")))</f>
        <v/>
      </c>
      <c r="K253" s="31" t="n"/>
      <c r="L253" s="31" t="n"/>
      <c r="M253" s="31" t="n"/>
    </row>
    <row r="254" ht="14.25" customHeight="1">
      <c r="B254" s="55" t="n"/>
      <c r="C254" s="25" t="n"/>
      <c r="D254" s="25" t="n"/>
      <c r="E254" s="26" t="n"/>
      <c r="F254" s="67" t="n"/>
      <c r="G254" s="2">
        <f>+IF(Tableau1[[#This Row],[Fournisseur]]="","",IFERROR(VLOOKUP(Tableau1[[#This Row],[Fournisseur]],SuiviFrs,2,FALSE),"Vérifier la syntaxe : Fournisseur introuvable au niveau du suivi des conventions"))</f>
        <v/>
      </c>
      <c r="H254" s="7">
        <f>++IF(Tableau1[[#This Row],[Fournisseur]]="","",C254+G254-1)</f>
        <v/>
      </c>
      <c r="I254" s="8">
        <f>++IF(Tableau1[[#This Row],[Fournisseur]]="","",IF(H254-Tableau1[[#This Row],[Date Paiement Effectif]]&gt;0," ",H254-Tableau1[[#This Row],[Date Paiement Effectif]]))</f>
        <v/>
      </c>
      <c r="J254" s="9">
        <f>++IF(Tableau1[[#This Row],[Fournisseur]]="","",IF(Tableau1[[#This Row],[Date Paiement Effectif]]="","Non encore payée",IF(I254&lt;0,"Attention, paiement hors délais","OK RAS")))</f>
        <v/>
      </c>
      <c r="K254" s="31" t="n"/>
      <c r="L254" s="31" t="n"/>
      <c r="M254" s="31" t="n"/>
    </row>
    <row r="255" ht="14.25" customHeight="1">
      <c r="B255" s="55" t="n"/>
      <c r="C255" s="25" t="n"/>
      <c r="D255" s="25" t="n"/>
      <c r="E255" s="26" t="n"/>
      <c r="F255" s="67" t="n"/>
      <c r="G255" s="2">
        <f>+IF(Tableau1[[#This Row],[Fournisseur]]="","",IFERROR(VLOOKUP(Tableau1[[#This Row],[Fournisseur]],SuiviFrs,2,FALSE),"Vérifier la syntaxe : Fournisseur introuvable au niveau du suivi des conventions"))</f>
        <v/>
      </c>
      <c r="H255" s="7">
        <f>++IF(Tableau1[[#This Row],[Fournisseur]]="","",C255+G255-1)</f>
        <v/>
      </c>
      <c r="I255" s="8">
        <f>++IF(Tableau1[[#This Row],[Fournisseur]]="","",IF(H255-Tableau1[[#This Row],[Date Paiement Effectif]]&gt;0," ",H255-Tableau1[[#This Row],[Date Paiement Effectif]]))</f>
        <v/>
      </c>
      <c r="J255" s="9">
        <f>++IF(Tableau1[[#This Row],[Fournisseur]]="","",IF(Tableau1[[#This Row],[Date Paiement Effectif]]="","Non encore payée",IF(I255&lt;0,"Attention, paiement hors délais","OK RAS")))</f>
        <v/>
      </c>
      <c r="K255" s="31" t="n"/>
      <c r="L255" s="31" t="n"/>
      <c r="M255" s="31" t="n"/>
    </row>
    <row r="256" ht="14.25" customHeight="1">
      <c r="B256" s="55" t="n"/>
      <c r="C256" s="25" t="n"/>
      <c r="D256" s="25" t="n"/>
      <c r="E256" s="26" t="n"/>
      <c r="F256" s="67" t="n"/>
      <c r="G256" s="2">
        <f>+IF(Tableau1[[#This Row],[Fournisseur]]="","",IFERROR(VLOOKUP(Tableau1[[#This Row],[Fournisseur]],SuiviFrs,2,FALSE),"Vérifier la syntaxe : Fournisseur introuvable au niveau du suivi des conventions"))</f>
        <v/>
      </c>
      <c r="H256" s="7">
        <f>++IF(Tableau1[[#This Row],[Fournisseur]]="","",C256+G256-1)</f>
        <v/>
      </c>
      <c r="I256" s="8">
        <f>++IF(Tableau1[[#This Row],[Fournisseur]]="","",IF(H256-Tableau1[[#This Row],[Date Paiement Effectif]]&gt;0," ",H256-Tableau1[[#This Row],[Date Paiement Effectif]]))</f>
        <v/>
      </c>
      <c r="J256" s="9">
        <f>++IF(Tableau1[[#This Row],[Fournisseur]]="","",IF(Tableau1[[#This Row],[Date Paiement Effectif]]="","Non encore payée",IF(I256&lt;0,"Attention, paiement hors délais","OK RAS")))</f>
        <v/>
      </c>
      <c r="K256" s="31" t="n"/>
      <c r="L256" s="31" t="n"/>
      <c r="M256" s="31" t="n"/>
    </row>
    <row r="257" ht="14.25" customHeight="1">
      <c r="B257" s="55" t="n"/>
      <c r="C257" s="25" t="n"/>
      <c r="D257" s="25" t="n"/>
      <c r="E257" s="26" t="n"/>
      <c r="F257" s="67" t="n"/>
      <c r="G257" s="2">
        <f>+IF(Tableau1[[#This Row],[Fournisseur]]="","",IFERROR(VLOOKUP(Tableau1[[#This Row],[Fournisseur]],SuiviFrs,2,FALSE),"Vérifier la syntaxe : Fournisseur introuvable au niveau du suivi des conventions"))</f>
        <v/>
      </c>
      <c r="H257" s="7">
        <f>++IF(Tableau1[[#This Row],[Fournisseur]]="","",C257+G257-1)</f>
        <v/>
      </c>
      <c r="I257" s="8">
        <f>++IF(Tableau1[[#This Row],[Fournisseur]]="","",IF(H257-Tableau1[[#This Row],[Date Paiement Effectif]]&gt;0," ",H257-Tableau1[[#This Row],[Date Paiement Effectif]]))</f>
        <v/>
      </c>
      <c r="J257" s="9">
        <f>++IF(Tableau1[[#This Row],[Fournisseur]]="","",IF(Tableau1[[#This Row],[Date Paiement Effectif]]="","Non encore payée",IF(I257&lt;0,"Attention, paiement hors délais","OK RAS")))</f>
        <v/>
      </c>
      <c r="K257" s="31" t="n"/>
      <c r="L257" s="31" t="n"/>
      <c r="M257" s="31" t="n"/>
    </row>
    <row r="258" ht="14.25" customHeight="1">
      <c r="B258" s="55" t="n"/>
      <c r="C258" s="25" t="n"/>
      <c r="D258" s="25" t="n"/>
      <c r="E258" s="26" t="n"/>
      <c r="F258" s="67" t="n"/>
      <c r="G258" s="2">
        <f>+IF(Tableau1[[#This Row],[Fournisseur]]="","",IFERROR(VLOOKUP(Tableau1[[#This Row],[Fournisseur]],SuiviFrs,2,FALSE),"Vérifier la syntaxe : Fournisseur introuvable au niveau du suivi des conventions"))</f>
        <v/>
      </c>
      <c r="H258" s="7">
        <f>++IF(Tableau1[[#This Row],[Fournisseur]]="","",C258+G258-1)</f>
        <v/>
      </c>
      <c r="I258" s="8">
        <f>++IF(Tableau1[[#This Row],[Fournisseur]]="","",IF(H258-Tableau1[[#This Row],[Date Paiement Effectif]]&gt;0," ",H258-Tableau1[[#This Row],[Date Paiement Effectif]]))</f>
        <v/>
      </c>
      <c r="J258" s="9">
        <f>++IF(Tableau1[[#This Row],[Fournisseur]]="","",IF(Tableau1[[#This Row],[Date Paiement Effectif]]="","Non encore payée",IF(I258&lt;0,"Attention, paiement hors délais","OK RAS")))</f>
        <v/>
      </c>
      <c r="K258" s="31" t="n"/>
      <c r="L258" s="31" t="n"/>
      <c r="M258" s="31" t="n"/>
    </row>
    <row r="259" ht="14.25" customHeight="1">
      <c r="B259" s="55" t="n"/>
      <c r="C259" s="25" t="n"/>
      <c r="D259" s="25" t="n"/>
      <c r="E259" s="26" t="n"/>
      <c r="F259" s="67" t="n"/>
      <c r="G259" s="2">
        <f>+IF(Tableau1[[#This Row],[Fournisseur]]="","",IFERROR(VLOOKUP(Tableau1[[#This Row],[Fournisseur]],SuiviFrs,2,FALSE),"Vérifier la syntaxe : Fournisseur introuvable au niveau du suivi des conventions"))</f>
        <v/>
      </c>
      <c r="H259" s="7">
        <f>++IF(Tableau1[[#This Row],[Fournisseur]]="","",C259+G259-1)</f>
        <v/>
      </c>
      <c r="I259" s="8">
        <f>++IF(Tableau1[[#This Row],[Fournisseur]]="","",IF(H259-Tableau1[[#This Row],[Date Paiement Effectif]]&gt;0," ",H259-Tableau1[[#This Row],[Date Paiement Effectif]]))</f>
        <v/>
      </c>
      <c r="J259" s="9">
        <f>++IF(Tableau1[[#This Row],[Fournisseur]]="","",IF(Tableau1[[#This Row],[Date Paiement Effectif]]="","Non encore payée",IF(I259&lt;0,"Attention, paiement hors délais","OK RAS")))</f>
        <v/>
      </c>
      <c r="K259" s="31" t="n"/>
      <c r="L259" s="31" t="n"/>
      <c r="M259" s="31" t="n"/>
    </row>
    <row r="260" ht="14.25" customHeight="1">
      <c r="B260" s="55" t="n"/>
      <c r="C260" s="25" t="n"/>
      <c r="D260" s="25" t="n"/>
      <c r="E260" s="26" t="n"/>
      <c r="F260" s="67" t="n"/>
      <c r="G260" s="2">
        <f>+IF(Tableau1[[#This Row],[Fournisseur]]="","",IFERROR(VLOOKUP(Tableau1[[#This Row],[Fournisseur]],SuiviFrs,2,FALSE),"Vérifier la syntaxe : Fournisseur introuvable au niveau du suivi des conventions"))</f>
        <v/>
      </c>
      <c r="H260" s="7">
        <f>++IF(Tableau1[[#This Row],[Fournisseur]]="","",C260+G260-1)</f>
        <v/>
      </c>
      <c r="I260" s="8">
        <f>++IF(Tableau1[[#This Row],[Fournisseur]]="","",IF(H260-Tableau1[[#This Row],[Date Paiement Effectif]]&gt;0," ",H260-Tableau1[[#This Row],[Date Paiement Effectif]]))</f>
        <v/>
      </c>
      <c r="J260" s="9">
        <f>++IF(Tableau1[[#This Row],[Fournisseur]]="","",IF(Tableau1[[#This Row],[Date Paiement Effectif]]="","Non encore payée",IF(I260&lt;0,"Attention, paiement hors délais","OK RAS")))</f>
        <v/>
      </c>
      <c r="K260" s="31" t="n"/>
      <c r="L260" s="31" t="n"/>
      <c r="M260" s="31" t="n"/>
    </row>
    <row r="261" ht="14.25" customHeight="1">
      <c r="B261" s="55" t="n"/>
      <c r="C261" s="25" t="n"/>
      <c r="D261" s="25" t="n"/>
      <c r="E261" s="26" t="n"/>
      <c r="F261" s="67" t="n"/>
      <c r="G261" s="2">
        <f>+IF(Tableau1[[#This Row],[Fournisseur]]="","",IFERROR(VLOOKUP(Tableau1[[#This Row],[Fournisseur]],SuiviFrs,2,FALSE),"Vérifier la syntaxe : Fournisseur introuvable au niveau du suivi des conventions"))</f>
        <v/>
      </c>
      <c r="H261" s="7">
        <f>++IF(Tableau1[[#This Row],[Fournisseur]]="","",C261+G261-1)</f>
        <v/>
      </c>
      <c r="I261" s="8">
        <f>++IF(Tableau1[[#This Row],[Fournisseur]]="","",IF(H261-Tableau1[[#This Row],[Date Paiement Effectif]]&gt;0," ",H261-Tableau1[[#This Row],[Date Paiement Effectif]]))</f>
        <v/>
      </c>
      <c r="J261" s="9">
        <f>++IF(Tableau1[[#This Row],[Fournisseur]]="","",IF(Tableau1[[#This Row],[Date Paiement Effectif]]="","Non encore payée",IF(I261&lt;0,"Attention, paiement hors délais","OK RAS")))</f>
        <v/>
      </c>
      <c r="K261" s="31" t="n"/>
      <c r="L261" s="31" t="n"/>
      <c r="M261" s="31" t="n"/>
    </row>
    <row r="262" ht="14.25" customHeight="1">
      <c r="B262" s="55" t="n"/>
      <c r="C262" s="25" t="n"/>
      <c r="D262" s="25" t="n"/>
      <c r="E262" s="26" t="n"/>
      <c r="F262" s="67" t="n"/>
      <c r="G262" s="2">
        <f>+IF(Tableau1[[#This Row],[Fournisseur]]="","",IFERROR(VLOOKUP(Tableau1[[#This Row],[Fournisseur]],SuiviFrs,2,FALSE),"Vérifier la syntaxe : Fournisseur introuvable au niveau du suivi des conventions"))</f>
        <v/>
      </c>
      <c r="H262" s="7">
        <f>++IF(Tableau1[[#This Row],[Fournisseur]]="","",C262+G262-1)</f>
        <v/>
      </c>
      <c r="I262" s="8">
        <f>++IF(Tableau1[[#This Row],[Fournisseur]]="","",IF(H262-Tableau1[[#This Row],[Date Paiement Effectif]]&gt;0," ",H262-Tableau1[[#This Row],[Date Paiement Effectif]]))</f>
        <v/>
      </c>
      <c r="J262" s="9">
        <f>++IF(Tableau1[[#This Row],[Fournisseur]]="","",IF(Tableau1[[#This Row],[Date Paiement Effectif]]="","Non encore payée",IF(I262&lt;0,"Attention, paiement hors délais","OK RAS")))</f>
        <v/>
      </c>
      <c r="K262" s="31" t="n"/>
      <c r="L262" s="31" t="n"/>
      <c r="M262" s="31" t="n"/>
    </row>
    <row r="263" ht="14.25" customHeight="1">
      <c r="B263" s="55" t="n"/>
      <c r="C263" s="25" t="n"/>
      <c r="D263" s="25" t="n"/>
      <c r="E263" s="26" t="n"/>
      <c r="F263" s="67" t="n"/>
      <c r="G263" s="2">
        <f>+IF(Tableau1[[#This Row],[Fournisseur]]="","",IFERROR(VLOOKUP(Tableau1[[#This Row],[Fournisseur]],SuiviFrs,2,FALSE),"Vérifier la syntaxe : Fournisseur introuvable au niveau du suivi des conventions"))</f>
        <v/>
      </c>
      <c r="H263" s="7">
        <f>++IF(Tableau1[[#This Row],[Fournisseur]]="","",C263+G263-1)</f>
        <v/>
      </c>
      <c r="I263" s="8">
        <f>++IF(Tableau1[[#This Row],[Fournisseur]]="","",IF(H263-Tableau1[[#This Row],[Date Paiement Effectif]]&gt;0," ",H263-Tableau1[[#This Row],[Date Paiement Effectif]]))</f>
        <v/>
      </c>
      <c r="J263" s="9">
        <f>++IF(Tableau1[[#This Row],[Fournisseur]]="","",IF(Tableau1[[#This Row],[Date Paiement Effectif]]="","Non encore payée",IF(I263&lt;0,"Attention, paiement hors délais","OK RAS")))</f>
        <v/>
      </c>
      <c r="K263" s="31" t="n"/>
      <c r="L263" s="31" t="n"/>
      <c r="M263" s="31" t="n"/>
    </row>
    <row r="264" ht="14.25" customHeight="1">
      <c r="B264" s="55" t="n"/>
      <c r="C264" s="25" t="n"/>
      <c r="D264" s="25" t="n"/>
      <c r="E264" s="26" t="n"/>
      <c r="F264" s="67" t="n"/>
      <c r="G264" s="2">
        <f>+IF(Tableau1[[#This Row],[Fournisseur]]="","",IFERROR(VLOOKUP(Tableau1[[#This Row],[Fournisseur]],SuiviFrs,2,FALSE),"Vérifier la syntaxe : Fournisseur introuvable au niveau du suivi des conventions"))</f>
        <v/>
      </c>
      <c r="H264" s="7">
        <f>++IF(Tableau1[[#This Row],[Fournisseur]]="","",C264+G264-1)</f>
        <v/>
      </c>
      <c r="I264" s="8">
        <f>++IF(Tableau1[[#This Row],[Fournisseur]]="","",IF(H264-Tableau1[[#This Row],[Date Paiement Effectif]]&gt;0," ",H264-Tableau1[[#This Row],[Date Paiement Effectif]]))</f>
        <v/>
      </c>
      <c r="J264" s="9">
        <f>++IF(Tableau1[[#This Row],[Fournisseur]]="","",IF(Tableau1[[#This Row],[Date Paiement Effectif]]="","Non encore payée",IF(I264&lt;0,"Attention, paiement hors délais","OK RAS")))</f>
        <v/>
      </c>
      <c r="K264" s="31" t="n"/>
      <c r="L264" s="31" t="n"/>
      <c r="M264" s="31" t="n"/>
    </row>
    <row r="265" ht="14.25" customHeight="1">
      <c r="B265" s="55" t="n"/>
      <c r="C265" s="25" t="n"/>
      <c r="D265" s="25" t="n"/>
      <c r="E265" s="26" t="n"/>
      <c r="F265" s="67" t="n"/>
      <c r="G265" s="2">
        <f>+IF(Tableau1[[#This Row],[Fournisseur]]="","",IFERROR(VLOOKUP(Tableau1[[#This Row],[Fournisseur]],SuiviFrs,2,FALSE),"Vérifier la syntaxe : Fournisseur introuvable au niveau du suivi des conventions"))</f>
        <v/>
      </c>
      <c r="H265" s="7">
        <f>++IF(Tableau1[[#This Row],[Fournisseur]]="","",C265+G265-1)</f>
        <v/>
      </c>
      <c r="I265" s="8">
        <f>++IF(Tableau1[[#This Row],[Fournisseur]]="","",IF(H265-Tableau1[[#This Row],[Date Paiement Effectif]]&gt;0," ",H265-Tableau1[[#This Row],[Date Paiement Effectif]]))</f>
        <v/>
      </c>
      <c r="J265" s="9">
        <f>++IF(Tableau1[[#This Row],[Fournisseur]]="","",IF(Tableau1[[#This Row],[Date Paiement Effectif]]="","Non encore payée",IF(I265&lt;0,"Attention, paiement hors délais","OK RAS")))</f>
        <v/>
      </c>
      <c r="K265" s="31" t="n"/>
      <c r="L265" s="31" t="n"/>
      <c r="M265" s="31" t="n"/>
    </row>
    <row r="266" ht="14.25" customHeight="1">
      <c r="B266" s="55" t="n"/>
      <c r="C266" s="25" t="n"/>
      <c r="D266" s="25" t="n"/>
      <c r="E266" s="26" t="n"/>
      <c r="F266" s="67" t="n"/>
      <c r="G266" s="2">
        <f>+IF(Tableau1[[#This Row],[Fournisseur]]="","",IFERROR(VLOOKUP(Tableau1[[#This Row],[Fournisseur]],SuiviFrs,2,FALSE),"Vérifier la syntaxe : Fournisseur introuvable au niveau du suivi des conventions"))</f>
        <v/>
      </c>
      <c r="H266" s="7">
        <f>++IF(Tableau1[[#This Row],[Fournisseur]]="","",C266+G266-1)</f>
        <v/>
      </c>
      <c r="I266" s="8">
        <f>++IF(Tableau1[[#This Row],[Fournisseur]]="","",IF(H266-Tableau1[[#This Row],[Date Paiement Effectif]]&gt;0," ",H266-Tableau1[[#This Row],[Date Paiement Effectif]]))</f>
        <v/>
      </c>
      <c r="J266" s="9">
        <f>++IF(Tableau1[[#This Row],[Fournisseur]]="","",IF(Tableau1[[#This Row],[Date Paiement Effectif]]="","Non encore payée",IF(I266&lt;0,"Attention, paiement hors délais","OK RAS")))</f>
        <v/>
      </c>
      <c r="K266" s="31" t="n"/>
      <c r="L266" s="31" t="n"/>
      <c r="M266" s="31" t="n"/>
    </row>
    <row r="267" ht="14.25" customHeight="1">
      <c r="B267" s="55" t="n"/>
      <c r="C267" s="25" t="n"/>
      <c r="D267" s="25" t="n"/>
      <c r="E267" s="46" t="n"/>
      <c r="F267" s="67" t="n"/>
      <c r="G267" s="2">
        <f>+IF(Tableau1[[#This Row],[Fournisseur]]="","",IFERROR(VLOOKUP(Tableau1[[#This Row],[Fournisseur]],SuiviFrs,2,FALSE),"Vérifier la syntaxe : Fournisseur introuvable au niveau du suivi des conventions"))</f>
        <v/>
      </c>
      <c r="H267" s="7">
        <f>++IF(Tableau1[[#This Row],[Fournisseur]]="","",C267+G267-1)</f>
        <v/>
      </c>
      <c r="I267" s="8">
        <f>++IF(Tableau1[[#This Row],[Fournisseur]]="","",IF(H267-Tableau1[[#This Row],[Date Paiement Effectif]]&gt;0," ",H267-Tableau1[[#This Row],[Date Paiement Effectif]]))</f>
        <v/>
      </c>
      <c r="J267" s="9">
        <f>++IF(Tableau1[[#This Row],[Fournisseur]]="","",IF(Tableau1[[#This Row],[Date Paiement Effectif]]="","Non encore payée",IF(I267&lt;0,"Attention, paiement hors délais","OK RAS")))</f>
        <v/>
      </c>
      <c r="K267" s="31" t="n"/>
      <c r="L267" s="31" t="n"/>
      <c r="M267" s="31" t="n"/>
    </row>
    <row r="268" ht="14.25" customHeight="1">
      <c r="B268" s="55" t="n"/>
      <c r="C268" s="25" t="n"/>
      <c r="D268" s="25" t="n"/>
      <c r="E268" s="26" t="n"/>
      <c r="F268" s="67" t="n"/>
      <c r="G268" s="2">
        <f>+IF(Tableau1[[#This Row],[Fournisseur]]="","",IFERROR(VLOOKUP(Tableau1[[#This Row],[Fournisseur]],SuiviFrs,2,FALSE),"Vérifier la syntaxe : Fournisseur introuvable au niveau du suivi des conventions"))</f>
        <v/>
      </c>
      <c r="H268" s="7">
        <f>++IF(Tableau1[[#This Row],[Fournisseur]]="","",C268+G268-1)</f>
        <v/>
      </c>
      <c r="I268" s="8">
        <f>++IF(Tableau1[[#This Row],[Fournisseur]]="","",IF(H268-Tableau1[[#This Row],[Date Paiement Effectif]]&gt;0," ",H268-Tableau1[[#This Row],[Date Paiement Effectif]]))</f>
        <v/>
      </c>
      <c r="J268" s="9">
        <f>++IF(Tableau1[[#This Row],[Fournisseur]]="","",IF(Tableau1[[#This Row],[Date Paiement Effectif]]="","Non encore payée",IF(I268&lt;0,"Attention, paiement hors délais","OK RAS")))</f>
        <v/>
      </c>
      <c r="K268" s="31" t="n"/>
      <c r="L268" s="31" t="n"/>
      <c r="M268" s="31" t="n"/>
    </row>
    <row r="269" ht="14.25" customHeight="1">
      <c r="B269" s="55" t="n"/>
      <c r="C269" s="25" t="n"/>
      <c r="D269" s="25" t="n"/>
      <c r="E269" s="26" t="n"/>
      <c r="F269" s="67" t="n"/>
      <c r="G269" s="2">
        <f>+IF(Tableau1[[#This Row],[Fournisseur]]="","",IFERROR(VLOOKUP(Tableau1[[#This Row],[Fournisseur]],SuiviFrs,2,FALSE),"Vérifier la syntaxe : Fournisseur introuvable au niveau du suivi des conventions"))</f>
        <v/>
      </c>
      <c r="H269" s="7">
        <f>++IF(Tableau1[[#This Row],[Fournisseur]]="","",C269+G269-1)</f>
        <v/>
      </c>
      <c r="I269" s="8">
        <f>++IF(Tableau1[[#This Row],[Fournisseur]]="","",IF(H269-Tableau1[[#This Row],[Date Paiement Effectif]]&gt;0," ",H269-Tableau1[[#This Row],[Date Paiement Effectif]]))</f>
        <v/>
      </c>
      <c r="J269" s="9">
        <f>++IF(Tableau1[[#This Row],[Fournisseur]]="","",IF(Tableau1[[#This Row],[Date Paiement Effectif]]="","Non encore payée",IF(I269&lt;0,"Attention, paiement hors délais","OK RAS")))</f>
        <v/>
      </c>
      <c r="K269" s="31" t="n"/>
      <c r="L269" s="31" t="n"/>
      <c r="M269" s="31" t="n"/>
    </row>
    <row r="270" ht="14.25" customHeight="1">
      <c r="B270" s="55" t="n"/>
      <c r="C270" s="25" t="n"/>
      <c r="D270" s="25" t="n"/>
      <c r="E270" s="26" t="n"/>
      <c r="F270" s="67" t="n"/>
      <c r="G270" s="2">
        <f>+IF(Tableau1[[#This Row],[Fournisseur]]="","",IFERROR(VLOOKUP(Tableau1[[#This Row],[Fournisseur]],SuiviFrs,2,FALSE),"Vérifier la syntaxe : Fournisseur introuvable au niveau du suivi des conventions"))</f>
        <v/>
      </c>
      <c r="H270" s="7">
        <f>++IF(Tableau1[[#This Row],[Fournisseur]]="","",C270+G270-1)</f>
        <v/>
      </c>
      <c r="I270" s="8">
        <f>++IF(Tableau1[[#This Row],[Fournisseur]]="","",IF(H270-Tableau1[[#This Row],[Date Paiement Effectif]]&gt;0," ",H270-Tableau1[[#This Row],[Date Paiement Effectif]]))</f>
        <v/>
      </c>
      <c r="J270" s="9">
        <f>++IF(Tableau1[[#This Row],[Fournisseur]]="","",IF(Tableau1[[#This Row],[Date Paiement Effectif]]="","Non encore payée",IF(I270&lt;0,"Attention, paiement hors délais","OK RAS")))</f>
        <v/>
      </c>
      <c r="K270" s="31" t="n"/>
      <c r="L270" s="31" t="n"/>
      <c r="M270" s="31" t="n"/>
    </row>
    <row r="271" ht="14.25" customHeight="1">
      <c r="B271" s="55" t="n"/>
      <c r="C271" s="25" t="n"/>
      <c r="D271" s="25" t="n"/>
      <c r="E271" s="26" t="n"/>
      <c r="F271" s="67" t="n"/>
      <c r="G271" s="2">
        <f>+IF(Tableau1[[#This Row],[Fournisseur]]="","",IFERROR(VLOOKUP(Tableau1[[#This Row],[Fournisseur]],SuiviFrs,2,FALSE),"Vérifier la syntaxe : Fournisseur introuvable au niveau du suivi des conventions"))</f>
        <v/>
      </c>
      <c r="H271" s="7">
        <f>++IF(Tableau1[[#This Row],[Fournisseur]]="","",C271+G271-1)</f>
        <v/>
      </c>
      <c r="I271" s="8">
        <f>++IF(Tableau1[[#This Row],[Fournisseur]]="","",IF(H271-Tableau1[[#This Row],[Date Paiement Effectif]]&gt;0," ",H271-Tableau1[[#This Row],[Date Paiement Effectif]]))</f>
        <v/>
      </c>
      <c r="J271" s="9">
        <f>++IF(Tableau1[[#This Row],[Fournisseur]]="","",IF(Tableau1[[#This Row],[Date Paiement Effectif]]="","Non encore payée",IF(I271&lt;0,"Attention, paiement hors délais","OK RAS")))</f>
        <v/>
      </c>
      <c r="K271" s="31" t="n"/>
      <c r="L271" s="31" t="n"/>
      <c r="M271" s="31" t="n"/>
    </row>
    <row r="272" ht="14.25" customHeight="1">
      <c r="B272" s="55" t="n"/>
      <c r="C272" s="25" t="n"/>
      <c r="D272" s="25" t="n"/>
      <c r="E272" s="26" t="n"/>
      <c r="F272" s="67" t="n"/>
      <c r="G272" s="2">
        <f>+IF(Tableau1[[#This Row],[Fournisseur]]="","",IFERROR(VLOOKUP(Tableau1[[#This Row],[Fournisseur]],SuiviFrs,2,FALSE),"Vérifier la syntaxe : Fournisseur introuvable au niveau du suivi des conventions"))</f>
        <v/>
      </c>
      <c r="H272" s="7">
        <f>++IF(Tableau1[[#This Row],[Fournisseur]]="","",C272+G272-1)</f>
        <v/>
      </c>
      <c r="I272" s="8">
        <f>++IF(Tableau1[[#This Row],[Fournisseur]]="","",IF(H272-Tableau1[[#This Row],[Date Paiement Effectif]]&gt;0," ",H272-Tableau1[[#This Row],[Date Paiement Effectif]]))</f>
        <v/>
      </c>
      <c r="J272" s="9">
        <f>++IF(Tableau1[[#This Row],[Fournisseur]]="","",IF(Tableau1[[#This Row],[Date Paiement Effectif]]="","Non encore payée",IF(I272&lt;0,"Attention, paiement hors délais","OK RAS")))</f>
        <v/>
      </c>
      <c r="K272" s="31" t="n"/>
      <c r="L272" s="31" t="n"/>
      <c r="M272" s="31" t="n"/>
    </row>
    <row r="273" ht="14.25" customHeight="1">
      <c r="B273" s="55" t="n"/>
      <c r="C273" s="25" t="n"/>
      <c r="D273" s="25" t="n"/>
      <c r="E273" s="26" t="n"/>
      <c r="F273" s="67" t="n"/>
      <c r="G273" s="2">
        <f>+IF(Tableau1[[#This Row],[Fournisseur]]="","",IFERROR(VLOOKUP(Tableau1[[#This Row],[Fournisseur]],SuiviFrs,2,FALSE),"Vérifier la syntaxe : Fournisseur introuvable au niveau du suivi des conventions"))</f>
        <v/>
      </c>
      <c r="H273" s="7">
        <f>++IF(Tableau1[[#This Row],[Fournisseur]]="","",C273+G273-1)</f>
        <v/>
      </c>
      <c r="I273" s="8">
        <f>++IF(Tableau1[[#This Row],[Fournisseur]]="","",IF(H273-Tableau1[[#This Row],[Date Paiement Effectif]]&gt;0," ",H273-Tableau1[[#This Row],[Date Paiement Effectif]]))</f>
        <v/>
      </c>
      <c r="J273" s="9">
        <f>++IF(Tableau1[[#This Row],[Fournisseur]]="","",IF(Tableau1[[#This Row],[Date Paiement Effectif]]="","Non encore payée",IF(I273&lt;0,"Attention, paiement hors délais","OK RAS")))</f>
        <v/>
      </c>
      <c r="K273" s="31" t="n"/>
      <c r="L273" s="31" t="n"/>
      <c r="M273" s="31" t="n"/>
    </row>
    <row r="274" ht="14.25" customHeight="1">
      <c r="B274" s="55" t="n"/>
      <c r="C274" s="25" t="n"/>
      <c r="D274" s="25" t="n"/>
      <c r="E274" s="26" t="n"/>
      <c r="F274" s="67" t="n"/>
      <c r="G274" s="2">
        <f>+IF(Tableau1[[#This Row],[Fournisseur]]="","",IFERROR(VLOOKUP(Tableau1[[#This Row],[Fournisseur]],SuiviFrs,2,FALSE),"Vérifier la syntaxe : Fournisseur introuvable au niveau du suivi des conventions"))</f>
        <v/>
      </c>
      <c r="H274" s="7">
        <f>++IF(Tableau1[[#This Row],[Fournisseur]]="","",C274+G274-1)</f>
        <v/>
      </c>
      <c r="I274" s="8">
        <f>++IF(Tableau1[[#This Row],[Fournisseur]]="","",IF(H274-Tableau1[[#This Row],[Date Paiement Effectif]]&gt;0," ",H274-Tableau1[[#This Row],[Date Paiement Effectif]]))</f>
        <v/>
      </c>
      <c r="J274" s="9">
        <f>++IF(Tableau1[[#This Row],[Fournisseur]]="","",IF(Tableau1[[#This Row],[Date Paiement Effectif]]="","Non encore payée",IF(I274&lt;0,"Attention, paiement hors délais","OK RAS")))</f>
        <v/>
      </c>
      <c r="K274" s="31" t="n"/>
      <c r="L274" s="31" t="n"/>
      <c r="M274" s="31" t="n"/>
    </row>
    <row r="275" ht="14.25" customHeight="1">
      <c r="B275" s="55" t="n"/>
      <c r="C275" s="25" t="n"/>
      <c r="D275" s="25" t="n"/>
      <c r="E275" s="26" t="n"/>
      <c r="F275" s="67" t="n"/>
      <c r="G275" s="2">
        <f>+IF(Tableau1[[#This Row],[Fournisseur]]="","",IFERROR(VLOOKUP(Tableau1[[#This Row],[Fournisseur]],SuiviFrs,2,FALSE),"Vérifier la syntaxe : Fournisseur introuvable au niveau du suivi des conventions"))</f>
        <v/>
      </c>
      <c r="H275" s="7">
        <f>++IF(Tableau1[[#This Row],[Fournisseur]]="","",C275+G275-1)</f>
        <v/>
      </c>
      <c r="I275" s="8">
        <f>++IF(Tableau1[[#This Row],[Fournisseur]]="","",IF(H275-Tableau1[[#This Row],[Date Paiement Effectif]]&gt;0," ",H275-Tableau1[[#This Row],[Date Paiement Effectif]]))</f>
        <v/>
      </c>
      <c r="J275" s="9">
        <f>++IF(Tableau1[[#This Row],[Fournisseur]]="","",IF(Tableau1[[#This Row],[Date Paiement Effectif]]="","Non encore payée",IF(I275&lt;0,"Attention, paiement hors délais","OK RAS")))</f>
        <v/>
      </c>
      <c r="K275" s="31" t="n"/>
      <c r="L275" s="31" t="n"/>
      <c r="M275" s="31" t="n"/>
    </row>
    <row r="276" ht="14.25" customHeight="1">
      <c r="B276" s="60" t="n"/>
      <c r="C276" s="57" t="n"/>
      <c r="D276" s="57" t="n"/>
      <c r="E276" s="58" t="n"/>
      <c r="F276" s="68" t="n"/>
      <c r="G276" s="2">
        <f>+IF(Tableau1[[#This Row],[Fournisseur]]="","",IFERROR(VLOOKUP(Tableau1[[#This Row],[Fournisseur]],SuiviFrs,2,FALSE),"Vérifier la syntaxe : Fournisseur introuvable au niveau du suivi des conventions"))</f>
        <v/>
      </c>
      <c r="H276" s="7">
        <f>++IF(Tableau1[[#This Row],[Fournisseur]]="","",C276+G276-1)</f>
        <v/>
      </c>
      <c r="I276" s="8">
        <f>++IF(Tableau1[[#This Row],[Fournisseur]]="","",IF(H276-Tableau1[[#This Row],[Date Paiement Effectif]]&gt;0," ",H276-Tableau1[[#This Row],[Date Paiement Effectif]]))</f>
        <v/>
      </c>
      <c r="J276" s="9">
        <f>++IF(Tableau1[[#This Row],[Fournisseur]]="","",IF(Tableau1[[#This Row],[Date Paiement Effectif]]="","Non encore payée",IF(I276&lt;0,"Attention, paiement hors délais","OK RAS")))</f>
        <v/>
      </c>
      <c r="K276" s="31" t="n"/>
      <c r="L276" s="31" t="n"/>
      <c r="M276" s="31" t="n"/>
    </row>
    <row r="277" ht="14.25" customHeight="1">
      <c r="B277" s="55" t="n"/>
      <c r="C277" s="25" t="n"/>
      <c r="D277" s="25" t="n"/>
      <c r="E277" s="26" t="n"/>
      <c r="F277" s="67" t="n"/>
      <c r="G277" s="2">
        <f>+IF(Tableau1[[#This Row],[Fournisseur]]="","",IFERROR(VLOOKUP(Tableau1[[#This Row],[Fournisseur]],SuiviFrs,2,FALSE),"Vérifier la syntaxe : Fournisseur introuvable au niveau du suivi des conventions"))</f>
        <v/>
      </c>
      <c r="H277" s="7">
        <f>++IF(Tableau1[[#This Row],[Fournisseur]]="","",C277+G277-1)</f>
        <v/>
      </c>
      <c r="I277" s="8">
        <f>++IF(Tableau1[[#This Row],[Fournisseur]]="","",IF(H277-Tableau1[[#This Row],[Date Paiement Effectif]]&gt;0," ",H277-Tableau1[[#This Row],[Date Paiement Effectif]]))</f>
        <v/>
      </c>
      <c r="J277" s="9">
        <f>++IF(Tableau1[[#This Row],[Fournisseur]]="","",IF(Tableau1[[#This Row],[Date Paiement Effectif]]="","Non encore payée",IF(I277&lt;0,"Attention, paiement hors délais","OK RAS")))</f>
        <v/>
      </c>
      <c r="K277" s="31" t="n"/>
      <c r="L277" s="31" t="n"/>
      <c r="M277" s="31" t="n"/>
    </row>
    <row r="278" ht="14.25" customHeight="1">
      <c r="B278" s="55" t="n"/>
      <c r="C278" s="25" t="n"/>
      <c r="D278" s="25" t="n"/>
      <c r="E278" s="26" t="n"/>
      <c r="F278" s="67" t="n"/>
      <c r="G278" s="2">
        <f>+IF(Tableau1[[#This Row],[Fournisseur]]="","",IFERROR(VLOOKUP(Tableau1[[#This Row],[Fournisseur]],SuiviFrs,2,FALSE),"Vérifier la syntaxe : Fournisseur introuvable au niveau du suivi des conventions"))</f>
        <v/>
      </c>
      <c r="H278" s="7">
        <f>++IF(Tableau1[[#This Row],[Fournisseur]]="","",C278+G278-1)</f>
        <v/>
      </c>
      <c r="I278" s="8">
        <f>++IF(Tableau1[[#This Row],[Fournisseur]]="","",IF(H278-Tableau1[[#This Row],[Date Paiement Effectif]]&gt;0," ",H278-Tableau1[[#This Row],[Date Paiement Effectif]]))</f>
        <v/>
      </c>
      <c r="J278" s="9">
        <f>++IF(Tableau1[[#This Row],[Fournisseur]]="","",IF(Tableau1[[#This Row],[Date Paiement Effectif]]="","Non encore payée",IF(I278&lt;0,"Attention, paiement hors délais","OK RAS")))</f>
        <v/>
      </c>
      <c r="K278" s="31" t="n"/>
      <c r="L278" s="31" t="n"/>
      <c r="M278" s="31" t="n"/>
    </row>
    <row r="279" ht="14.25" customHeight="1">
      <c r="B279" s="55" t="n"/>
      <c r="C279" s="25" t="n"/>
      <c r="D279" s="25" t="n"/>
      <c r="E279" s="46" t="n"/>
      <c r="F279" s="67" t="n"/>
      <c r="G279" s="2">
        <f>+IF(Tableau1[[#This Row],[Fournisseur]]="","",IFERROR(VLOOKUP(Tableau1[[#This Row],[Fournisseur]],SuiviFrs,2,FALSE),"Vérifier la syntaxe : Fournisseur introuvable au niveau du suivi des conventions"))</f>
        <v/>
      </c>
      <c r="H279" s="7">
        <f>++IF(Tableau1[[#This Row],[Fournisseur]]="","",C279+G279-1)</f>
        <v/>
      </c>
      <c r="I279" s="8">
        <f>++IF(Tableau1[[#This Row],[Fournisseur]]="","",IF(H279-Tableau1[[#This Row],[Date Paiement Effectif]]&gt;0," ",H279-Tableau1[[#This Row],[Date Paiement Effectif]]))</f>
        <v/>
      </c>
      <c r="J279" s="9">
        <f>++IF(Tableau1[[#This Row],[Fournisseur]]="","",IF(Tableau1[[#This Row],[Date Paiement Effectif]]="","Non encore payée",IF(I279&lt;0,"Attention, paiement hors délais","OK RAS")))</f>
        <v/>
      </c>
      <c r="K279" s="31" t="n"/>
      <c r="L279" s="31" t="n"/>
      <c r="M279" s="31" t="n"/>
    </row>
    <row r="280" ht="14.25" customHeight="1">
      <c r="B280" s="55" t="n"/>
      <c r="C280" s="25" t="n"/>
      <c r="D280" s="25" t="n"/>
      <c r="E280" s="26" t="n"/>
      <c r="F280" s="67" t="n"/>
      <c r="G280" s="2">
        <f>+IF(Tableau1[[#This Row],[Fournisseur]]="","",IFERROR(VLOOKUP(Tableau1[[#This Row],[Fournisseur]],SuiviFrs,2,FALSE),"Vérifier la syntaxe : Fournisseur introuvable au niveau du suivi des conventions"))</f>
        <v/>
      </c>
      <c r="H280" s="7">
        <f>++IF(Tableau1[[#This Row],[Fournisseur]]="","",C280+G280-1)</f>
        <v/>
      </c>
      <c r="I280" s="8">
        <f>++IF(Tableau1[[#This Row],[Fournisseur]]="","",IF(H280-Tableau1[[#This Row],[Date Paiement Effectif]]&gt;0," ",H280-Tableau1[[#This Row],[Date Paiement Effectif]]))</f>
        <v/>
      </c>
      <c r="J280" s="9">
        <f>++IF(Tableau1[[#This Row],[Fournisseur]]="","",IF(Tableau1[[#This Row],[Date Paiement Effectif]]="","Non encore payée",IF(I280&lt;0,"Attention, paiement hors délais","OK RAS")))</f>
        <v/>
      </c>
      <c r="K280" s="31" t="n"/>
      <c r="L280" s="31" t="n"/>
      <c r="M280" s="31" t="n"/>
    </row>
    <row r="281" ht="14.25" customHeight="1">
      <c r="B281" s="55" t="n"/>
      <c r="C281" s="25" t="n"/>
      <c r="D281" s="25" t="n"/>
      <c r="E281" s="26" t="n"/>
      <c r="F281" s="67" t="n"/>
      <c r="G281" s="2">
        <f>+IF(Tableau1[[#This Row],[Fournisseur]]="","",IFERROR(VLOOKUP(Tableau1[[#This Row],[Fournisseur]],SuiviFrs,2,FALSE),"Vérifier la syntaxe : Fournisseur introuvable au niveau du suivi des conventions"))</f>
        <v/>
      </c>
      <c r="H281" s="7">
        <f>++IF(Tableau1[[#This Row],[Fournisseur]]="","",C281+G281-1)</f>
        <v/>
      </c>
      <c r="I281" s="8">
        <f>++IF(Tableau1[[#This Row],[Fournisseur]]="","",IF(H281-Tableau1[[#This Row],[Date Paiement Effectif]]&gt;0," ",H281-Tableau1[[#This Row],[Date Paiement Effectif]]))</f>
        <v/>
      </c>
      <c r="J281" s="9">
        <f>++IF(Tableau1[[#This Row],[Fournisseur]]="","",IF(Tableau1[[#This Row],[Date Paiement Effectif]]="","Non encore payée",IF(I281&lt;0,"Attention, paiement hors délais","OK RAS")))</f>
        <v/>
      </c>
      <c r="K281" s="31" t="n"/>
      <c r="L281" s="31" t="n"/>
      <c r="M281" s="31" t="n"/>
    </row>
    <row r="282" ht="14.25" customHeight="1">
      <c r="B282" s="55" t="n"/>
      <c r="C282" s="25" t="n"/>
      <c r="D282" s="25" t="n"/>
      <c r="E282" s="26" t="n"/>
      <c r="F282" s="67" t="n"/>
      <c r="G282" s="2">
        <f>+IF(Tableau1[[#This Row],[Fournisseur]]="","",IFERROR(VLOOKUP(Tableau1[[#This Row],[Fournisseur]],SuiviFrs,2,FALSE),"Vérifier la syntaxe : Fournisseur introuvable au niveau du suivi des conventions"))</f>
        <v/>
      </c>
      <c r="H282" s="7">
        <f>++IF(Tableau1[[#This Row],[Fournisseur]]="","",C282+G282-1)</f>
        <v/>
      </c>
      <c r="I282" s="8">
        <f>++IF(Tableau1[[#This Row],[Fournisseur]]="","",IF(H282-Tableau1[[#This Row],[Date Paiement Effectif]]&gt;0," ",H282-Tableau1[[#This Row],[Date Paiement Effectif]]))</f>
        <v/>
      </c>
      <c r="J282" s="9">
        <f>++IF(Tableau1[[#This Row],[Fournisseur]]="","",IF(Tableau1[[#This Row],[Date Paiement Effectif]]="","Non encore payée",IF(I282&lt;0,"Attention, paiement hors délais","OK RAS")))</f>
        <v/>
      </c>
      <c r="K282" s="31" t="n"/>
      <c r="L282" s="31" t="n"/>
      <c r="M282" s="31" t="n"/>
    </row>
    <row r="283" ht="14.25" customHeight="1">
      <c r="B283" s="55" t="n"/>
      <c r="C283" s="25" t="n"/>
      <c r="D283" s="25" t="n"/>
      <c r="E283" s="26" t="n"/>
      <c r="F283" s="67" t="n"/>
      <c r="G283" s="2">
        <f>+IF(Tableau1[[#This Row],[Fournisseur]]="","",IFERROR(VLOOKUP(Tableau1[[#This Row],[Fournisseur]],SuiviFrs,2,FALSE),"Vérifier la syntaxe : Fournisseur introuvable au niveau du suivi des conventions"))</f>
        <v/>
      </c>
      <c r="H283" s="7">
        <f>++IF(Tableau1[[#This Row],[Fournisseur]]="","",C283+G283-1)</f>
        <v/>
      </c>
      <c r="I283" s="8">
        <f>++IF(Tableau1[[#This Row],[Fournisseur]]="","",IF(H283-Tableau1[[#This Row],[Date Paiement Effectif]]&gt;0," ",H283-Tableau1[[#This Row],[Date Paiement Effectif]]))</f>
        <v/>
      </c>
      <c r="J283" s="9">
        <f>++IF(Tableau1[[#This Row],[Fournisseur]]="","",IF(Tableau1[[#This Row],[Date Paiement Effectif]]="","Non encore payée",IF(I283&lt;0,"Attention, paiement hors délais","OK RAS")))</f>
        <v/>
      </c>
      <c r="K283" s="31" t="n"/>
      <c r="L283" s="31" t="n"/>
      <c r="M283" s="31" t="n"/>
    </row>
    <row r="284" ht="14.25" customHeight="1">
      <c r="B284" s="55" t="n"/>
      <c r="C284" s="25" t="n"/>
      <c r="D284" s="25" t="n"/>
      <c r="E284" s="26" t="n"/>
      <c r="F284" s="67" t="n"/>
      <c r="G284" s="2">
        <f>+IF(Tableau1[[#This Row],[Fournisseur]]="","",IFERROR(VLOOKUP(Tableau1[[#This Row],[Fournisseur]],SuiviFrs,2,FALSE),"Vérifier la syntaxe : Fournisseur introuvable au niveau du suivi des conventions"))</f>
        <v/>
      </c>
      <c r="H284" s="7">
        <f>++IF(Tableau1[[#This Row],[Fournisseur]]="","",C284+G284-1)</f>
        <v/>
      </c>
      <c r="I284" s="8">
        <f>++IF(Tableau1[[#This Row],[Fournisseur]]="","",IF(H284-Tableau1[[#This Row],[Date Paiement Effectif]]&gt;0," ",H284-Tableau1[[#This Row],[Date Paiement Effectif]]))</f>
        <v/>
      </c>
      <c r="J284" s="9">
        <f>++IF(Tableau1[[#This Row],[Fournisseur]]="","",IF(Tableau1[[#This Row],[Date Paiement Effectif]]="","Non encore payée",IF(I284&lt;0,"Attention, paiement hors délais","OK RAS")))</f>
        <v/>
      </c>
      <c r="K284" s="31" t="n"/>
      <c r="L284" s="31" t="n"/>
      <c r="M284" s="31" t="n"/>
    </row>
    <row r="285" ht="14.25" customHeight="1">
      <c r="B285" s="55" t="n"/>
      <c r="C285" s="25" t="n"/>
      <c r="D285" s="25" t="n"/>
      <c r="E285" s="26" t="n"/>
      <c r="F285" s="67" t="n"/>
      <c r="G285" s="2">
        <f>+IF(Tableau1[[#This Row],[Fournisseur]]="","",IFERROR(VLOOKUP(Tableau1[[#This Row],[Fournisseur]],SuiviFrs,2,FALSE),"Vérifier la syntaxe : Fournisseur introuvable au niveau du suivi des conventions"))</f>
        <v/>
      </c>
      <c r="H285" s="7">
        <f>++IF(Tableau1[[#This Row],[Fournisseur]]="","",C285+G285-1)</f>
        <v/>
      </c>
      <c r="I285" s="8">
        <f>++IF(Tableau1[[#This Row],[Fournisseur]]="","",IF(H285-Tableau1[[#This Row],[Date Paiement Effectif]]&gt;0," ",H285-Tableau1[[#This Row],[Date Paiement Effectif]]))</f>
        <v/>
      </c>
      <c r="J285" s="9">
        <f>++IF(Tableau1[[#This Row],[Fournisseur]]="","",IF(Tableau1[[#This Row],[Date Paiement Effectif]]="","Non encore payée",IF(I285&lt;0,"Attention, paiement hors délais","OK RAS")))</f>
        <v/>
      </c>
      <c r="K285" s="31" t="n"/>
      <c r="L285" s="31" t="n"/>
      <c r="M285" s="31" t="n"/>
    </row>
    <row r="286" ht="14.25" customHeight="1">
      <c r="B286" s="55" t="n"/>
      <c r="C286" s="25" t="n"/>
      <c r="D286" s="25" t="n"/>
      <c r="E286" s="26" t="n"/>
      <c r="F286" s="67" t="n"/>
      <c r="G286" s="2">
        <f>+IF(Tableau1[[#This Row],[Fournisseur]]="","",IFERROR(VLOOKUP(Tableau1[[#This Row],[Fournisseur]],SuiviFrs,2,FALSE),"Vérifier la syntaxe : Fournisseur introuvable au niveau du suivi des conventions"))</f>
        <v/>
      </c>
      <c r="H286" s="7">
        <f>++IF(Tableau1[[#This Row],[Fournisseur]]="","",C286+G286-1)</f>
        <v/>
      </c>
      <c r="I286" s="8">
        <f>++IF(Tableau1[[#This Row],[Fournisseur]]="","",IF(H286-Tableau1[[#This Row],[Date Paiement Effectif]]&gt;0," ",H286-Tableau1[[#This Row],[Date Paiement Effectif]]))</f>
        <v/>
      </c>
      <c r="J286" s="9">
        <f>++IF(Tableau1[[#This Row],[Fournisseur]]="","",IF(Tableau1[[#This Row],[Date Paiement Effectif]]="","Non encore payée",IF(I286&lt;0,"Attention, paiement hors délais","OK RAS")))</f>
        <v/>
      </c>
      <c r="K286" s="54" t="n">
        <v>46119</v>
      </c>
      <c r="L286" s="54" t="n"/>
      <c r="M286" s="31" t="n"/>
    </row>
    <row r="287" ht="14.25" customHeight="1">
      <c r="B287" s="55" t="n"/>
      <c r="C287" s="25" t="n"/>
      <c r="D287" s="25" t="n"/>
      <c r="E287" s="46" t="n"/>
      <c r="F287" s="67" t="n"/>
      <c r="G287" s="2">
        <f>+IF(Tableau1[[#This Row],[Fournisseur]]="","",IFERROR(VLOOKUP(Tableau1[[#This Row],[Fournisseur]],SuiviFrs,2,FALSE),"Vérifier la syntaxe : Fournisseur introuvable au niveau du suivi des conventions"))</f>
        <v/>
      </c>
      <c r="H287" s="7">
        <f>++IF(Tableau1[[#This Row],[Fournisseur]]="","",C287+G287-1)</f>
        <v/>
      </c>
      <c r="I287" s="8">
        <f>++IF(Tableau1[[#This Row],[Fournisseur]]="","",IF(H287-Tableau1[[#This Row],[Date Paiement Effectif]]&gt;0," ",H287-Tableau1[[#This Row],[Date Paiement Effectif]]))</f>
        <v/>
      </c>
      <c r="J287" s="9">
        <f>++IF(Tableau1[[#This Row],[Fournisseur]]="","",IF(Tableau1[[#This Row],[Date Paiement Effectif]]="","Non encore payée",IF(I287&lt;0,"Attention, paiement hors délais","OK RAS")))</f>
        <v/>
      </c>
      <c r="K287" s="54" t="n">
        <v>46090</v>
      </c>
      <c r="L287" s="54" t="n"/>
      <c r="M287" s="31" t="n"/>
    </row>
    <row r="288" ht="14.25" customHeight="1">
      <c r="B288" s="55" t="n"/>
      <c r="C288" s="25" t="n"/>
      <c r="D288" s="25" t="n"/>
      <c r="E288" s="46" t="n"/>
      <c r="F288" s="67" t="n"/>
      <c r="G288" s="2">
        <f>+IF(Tableau1[[#This Row],[Fournisseur]]="","",IFERROR(VLOOKUP(Tableau1[[#This Row],[Fournisseur]],SuiviFrs,2,FALSE),"Vérifier la syntaxe : Fournisseur introuvable au niveau du suivi des conventions"))</f>
        <v/>
      </c>
      <c r="H288" s="7">
        <f>++IF(Tableau1[[#This Row],[Fournisseur]]="","",C288+G288-1)</f>
        <v/>
      </c>
      <c r="I288" s="8">
        <f>++IF(Tableau1[[#This Row],[Fournisseur]]="","",IF(H288-Tableau1[[#This Row],[Date Paiement Effectif]]&gt;0," ",H288-Tableau1[[#This Row],[Date Paiement Effectif]]))</f>
        <v/>
      </c>
      <c r="J288" s="9">
        <f>++IF(Tableau1[[#This Row],[Fournisseur]]="","",IF(Tableau1[[#This Row],[Date Paiement Effectif]]="","Non encore payée",IF(I288&lt;0,"Attention, paiement hors délais","OK RAS")))</f>
        <v/>
      </c>
      <c r="K288" s="54" t="n">
        <v>46066</v>
      </c>
      <c r="L288" s="54" t="n"/>
      <c r="M288" s="31" t="n"/>
    </row>
    <row r="289" ht="14.25" customHeight="1">
      <c r="B289" s="55" t="n"/>
      <c r="C289" s="25" t="n"/>
      <c r="D289" s="25" t="n"/>
      <c r="E289" s="26" t="n"/>
      <c r="F289" s="67" t="n"/>
      <c r="G289" s="2">
        <f>+IF(Tableau1[[#This Row],[Fournisseur]]="","",IFERROR(VLOOKUP(Tableau1[[#This Row],[Fournisseur]],SuiviFrs,2,FALSE),"Vérifier la syntaxe : Fournisseur introuvable au niveau du suivi des conventions"))</f>
        <v/>
      </c>
      <c r="H289" s="7">
        <f>++IF(Tableau1[[#This Row],[Fournisseur]]="","",C289+G289-1)</f>
        <v/>
      </c>
      <c r="I289" s="8">
        <f>++IF(Tableau1[[#This Row],[Fournisseur]]="","",IF(H289-Tableau1[[#This Row],[Date Paiement Effectif]]&gt;0," ",H289-Tableau1[[#This Row],[Date Paiement Effectif]]))</f>
        <v/>
      </c>
      <c r="J289" s="9">
        <f>++IF(Tableau1[[#This Row],[Fournisseur]]="","",IF(Tableau1[[#This Row],[Date Paiement Effectif]]="","Non encore payée",IF(I289&lt;0,"Attention, paiement hors délais","OK RAS")))</f>
        <v/>
      </c>
      <c r="K289" s="31" t="n"/>
      <c r="L289" s="31" t="n"/>
      <c r="M289" s="31" t="n"/>
    </row>
    <row r="290" ht="14.25" customHeight="1">
      <c r="B290" s="55" t="n"/>
      <c r="C290" s="25" t="n"/>
      <c r="D290" s="25" t="n"/>
      <c r="E290" s="26" t="n"/>
      <c r="F290" s="67" t="n"/>
      <c r="G290" s="2">
        <f>+IF(Tableau1[[#This Row],[Fournisseur]]="","",IFERROR(VLOOKUP(Tableau1[[#This Row],[Fournisseur]],SuiviFrs,2,FALSE),"Vérifier la syntaxe : Fournisseur introuvable au niveau du suivi des conventions"))</f>
        <v/>
      </c>
      <c r="H290" s="7">
        <f>++IF(Tableau1[[#This Row],[Fournisseur]]="","",C290+G290-1)</f>
        <v/>
      </c>
      <c r="I290" s="8">
        <f>++IF(Tableau1[[#This Row],[Fournisseur]]="","",IF(H290-Tableau1[[#This Row],[Date Paiement Effectif]]&gt;0," ",H290-Tableau1[[#This Row],[Date Paiement Effectif]]))</f>
        <v/>
      </c>
      <c r="J290" s="9">
        <f>++IF(Tableau1[[#This Row],[Fournisseur]]="","",IF(Tableau1[[#This Row],[Date Paiement Effectif]]="","Non encore payée",IF(I290&lt;0,"Attention, paiement hors délais","OK RAS")))</f>
        <v/>
      </c>
      <c r="K290" s="54" t="n">
        <v>46088</v>
      </c>
      <c r="L290" s="54" t="n"/>
      <c r="M290" s="31" t="n"/>
    </row>
    <row r="291" ht="14.25" customHeight="1">
      <c r="B291" s="55" t="n"/>
      <c r="C291" s="25" t="n"/>
      <c r="D291" s="25" t="n"/>
      <c r="E291" s="26" t="n"/>
      <c r="F291" s="67" t="n"/>
      <c r="G291" s="2">
        <f>+IF(Tableau1[[#This Row],[Fournisseur]]="","",IFERROR(VLOOKUP(Tableau1[[#This Row],[Fournisseur]],SuiviFrs,2,FALSE),"Vérifier la syntaxe : Fournisseur introuvable au niveau du suivi des conventions"))</f>
        <v/>
      </c>
      <c r="H291" s="7">
        <f>++IF(Tableau1[[#This Row],[Fournisseur]]="","",C291+G291-1)</f>
        <v/>
      </c>
      <c r="I291" s="8">
        <f>++IF(Tableau1[[#This Row],[Fournisseur]]="","",IF(H291-Tableau1[[#This Row],[Date Paiement Effectif]]&gt;0," ",H291-Tableau1[[#This Row],[Date Paiement Effectif]]))</f>
        <v/>
      </c>
      <c r="J291" s="9">
        <f>++IF(Tableau1[[#This Row],[Fournisseur]]="","",IF(Tableau1[[#This Row],[Date Paiement Effectif]]="","Non encore payée",IF(I291&lt;0,"Attention, paiement hors délais","OK RAS")))</f>
        <v/>
      </c>
      <c r="K291" s="54" t="n">
        <v>46086</v>
      </c>
      <c r="L291" s="54" t="n"/>
      <c r="M291" s="31" t="n"/>
    </row>
    <row r="292" ht="14.25" customHeight="1">
      <c r="B292" s="55" t="n"/>
      <c r="C292" s="25" t="n"/>
      <c r="D292" s="25" t="n"/>
      <c r="E292" s="26" t="n"/>
      <c r="F292" s="67" t="n"/>
      <c r="G292" s="2">
        <f>+IF(Tableau1[[#This Row],[Fournisseur]]="","",IFERROR(VLOOKUP(Tableau1[[#This Row],[Fournisseur]],SuiviFrs,2,FALSE),"Vérifier la syntaxe : Fournisseur introuvable au niveau du suivi des conventions"))</f>
        <v/>
      </c>
      <c r="H292" s="7">
        <f>++IF(Tableau1[[#This Row],[Fournisseur]]="","",C292+G292-1)</f>
        <v/>
      </c>
      <c r="I292" s="8">
        <f>++IF(Tableau1[[#This Row],[Fournisseur]]="","",IF(H292-Tableau1[[#This Row],[Date Paiement Effectif]]&gt;0," ",H292-Tableau1[[#This Row],[Date Paiement Effectif]]))</f>
        <v/>
      </c>
      <c r="J292" s="9">
        <f>++IF(Tableau1[[#This Row],[Fournisseur]]="","",IF(Tableau1[[#This Row],[Date Paiement Effectif]]="","Non encore payée",IF(I292&lt;0,"Attention, paiement hors délais","OK RAS")))</f>
        <v/>
      </c>
      <c r="K292" s="31" t="n"/>
      <c r="L292" s="31" t="n"/>
      <c r="M292" s="31" t="n"/>
    </row>
    <row r="293" ht="14.25" customHeight="1">
      <c r="B293" s="55" t="n"/>
      <c r="C293" s="25" t="n"/>
      <c r="D293" s="25" t="n"/>
      <c r="E293" s="26" t="n"/>
      <c r="F293" s="67" t="n"/>
      <c r="G293" s="2">
        <f>+IF(Tableau1[[#This Row],[Fournisseur]]="","",IFERROR(VLOOKUP(Tableau1[[#This Row],[Fournisseur]],SuiviFrs,2,FALSE),"Vérifier la syntaxe : Fournisseur introuvable au niveau du suivi des conventions"))</f>
        <v/>
      </c>
      <c r="H293" s="7">
        <f>++IF(Tableau1[[#This Row],[Fournisseur]]="","",C293+G293-1)</f>
        <v/>
      </c>
      <c r="I293" s="8">
        <f>++IF(Tableau1[[#This Row],[Fournisseur]]="","",IF(H293-Tableau1[[#This Row],[Date Paiement Effectif]]&gt;0," ",H293-Tableau1[[#This Row],[Date Paiement Effectif]]))</f>
        <v/>
      </c>
      <c r="J293" s="9">
        <f>++IF(Tableau1[[#This Row],[Fournisseur]]="","",IF(Tableau1[[#This Row],[Date Paiement Effectif]]="","Non encore payée",IF(I293&lt;0,"Attention, paiement hors délais","OK RAS")))</f>
        <v/>
      </c>
      <c r="K293" s="31" t="n"/>
      <c r="L293" s="31" t="n"/>
      <c r="M293" s="31" t="n"/>
    </row>
    <row r="294" ht="14.25" customHeight="1">
      <c r="B294" s="55" t="n"/>
      <c r="C294" s="25" t="n"/>
      <c r="D294" s="25" t="n"/>
      <c r="E294" s="26" t="n"/>
      <c r="F294" s="67" t="n"/>
      <c r="G294" s="2">
        <f>+IF(Tableau1[[#This Row],[Fournisseur]]="","",IFERROR(VLOOKUP(Tableau1[[#This Row],[Fournisseur]],SuiviFrs,2,FALSE),"Vérifier la syntaxe : Fournisseur introuvable au niveau du suivi des conventions"))</f>
        <v/>
      </c>
      <c r="H294" s="7">
        <f>++IF(Tableau1[[#This Row],[Fournisseur]]="","",C294+G294-1)</f>
        <v/>
      </c>
      <c r="I294" s="8">
        <f>++IF(Tableau1[[#This Row],[Fournisseur]]="","",IF(H294-Tableau1[[#This Row],[Date Paiement Effectif]]&gt;0," ",H294-Tableau1[[#This Row],[Date Paiement Effectif]]))</f>
        <v/>
      </c>
      <c r="J294" s="9">
        <f>++IF(Tableau1[[#This Row],[Fournisseur]]="","",IF(Tableau1[[#This Row],[Date Paiement Effectif]]="","Non encore payée",IF(I294&lt;0,"Attention, paiement hors délais","OK RAS")))</f>
        <v/>
      </c>
      <c r="K294" s="54" t="n">
        <v>46085</v>
      </c>
      <c r="L294" s="54" t="n"/>
      <c r="M294" s="31" t="n"/>
    </row>
    <row r="295" ht="14.25" customHeight="1">
      <c r="B295" s="55" t="n"/>
      <c r="C295" s="25" t="n"/>
      <c r="D295" s="25" t="n"/>
      <c r="E295" s="26" t="n"/>
      <c r="F295" s="67" t="n"/>
      <c r="G295" s="2">
        <f>+IF(Tableau1[[#This Row],[Fournisseur]]="","",IFERROR(VLOOKUP(Tableau1[[#This Row],[Fournisseur]],SuiviFrs,2,FALSE),"Vérifier la syntaxe : Fournisseur introuvable au niveau du suivi des conventions"))</f>
        <v/>
      </c>
      <c r="H295" s="7">
        <f>++IF(Tableau1[[#This Row],[Fournisseur]]="","",C295+G295-1)</f>
        <v/>
      </c>
      <c r="I295" s="8">
        <f>++IF(Tableau1[[#This Row],[Fournisseur]]="","",IF(H295-Tableau1[[#This Row],[Date Paiement Effectif]]&gt;0," ",H295-Tableau1[[#This Row],[Date Paiement Effectif]]))</f>
        <v/>
      </c>
      <c r="J295" s="9">
        <f>++IF(Tableau1[[#This Row],[Fournisseur]]="","",IF(Tableau1[[#This Row],[Date Paiement Effectif]]="","Non encore payée",IF(I295&lt;0,"Attention, paiement hors délais","OK RAS")))</f>
        <v/>
      </c>
      <c r="K295" s="31" t="n"/>
      <c r="L295" s="31" t="n"/>
      <c r="M295" s="31" t="n"/>
    </row>
    <row r="296" ht="14.25" customHeight="1">
      <c r="B296" s="55" t="n"/>
      <c r="C296" s="25" t="n"/>
      <c r="D296" s="25" t="n"/>
      <c r="E296" s="26" t="n"/>
      <c r="F296" s="67" t="n"/>
      <c r="G296" s="2">
        <f>+IF(Tableau1[[#This Row],[Fournisseur]]="","",IFERROR(VLOOKUP(Tableau1[[#This Row],[Fournisseur]],SuiviFrs,2,FALSE),"Vérifier la syntaxe : Fournisseur introuvable au niveau du suivi des conventions"))</f>
        <v/>
      </c>
      <c r="H296" s="7">
        <f>++IF(Tableau1[[#This Row],[Fournisseur]]="","",C296+G296-1)</f>
        <v/>
      </c>
      <c r="I296" s="8">
        <f>++IF(Tableau1[[#This Row],[Fournisseur]]="","",IF(H296-Tableau1[[#This Row],[Date Paiement Effectif]]&gt;0," ",H296-Tableau1[[#This Row],[Date Paiement Effectif]]))</f>
        <v/>
      </c>
      <c r="J296" s="9">
        <f>++IF(Tableau1[[#This Row],[Fournisseur]]="","",IF(Tableau1[[#This Row],[Date Paiement Effectif]]="","Non encore payée",IF(I296&lt;0,"Attention, paiement hors délais","OK RAS")))</f>
        <v/>
      </c>
      <c r="K296" s="31" t="n"/>
      <c r="L296" s="31" t="n"/>
      <c r="M296" s="31" t="n"/>
    </row>
    <row r="297" ht="14" customHeight="1">
      <c r="B297" s="55" t="n"/>
      <c r="C297" s="25" t="n"/>
      <c r="D297" s="25" t="n"/>
      <c r="E297" s="26" t="n"/>
      <c r="F297" s="67" t="n"/>
      <c r="G297" s="2">
        <f>+IF(Tableau1[[#This Row],[Fournisseur]]="","",IFERROR(VLOOKUP(Tableau1[[#This Row],[Fournisseur]],SuiviFrs,2,FALSE),"Vérifier la syntaxe : Fournisseur introuvable au niveau du suivi des conventions"))</f>
        <v/>
      </c>
      <c r="H297" s="7">
        <f>++IF(Tableau1[[#This Row],[Fournisseur]]="","",C297+G297-1)</f>
        <v/>
      </c>
      <c r="I297" s="8">
        <f>++IF(Tableau1[[#This Row],[Fournisseur]]="","",IF(H297-Tableau1[[#This Row],[Date Paiement Effectif]]&gt;0," ",H297-Tableau1[[#This Row],[Date Paiement Effectif]]))</f>
        <v/>
      </c>
      <c r="J297" s="9">
        <f>++IF(Tableau1[[#This Row],[Fournisseur]]="","",IF(Tableau1[[#This Row],[Date Paiement Effectif]]="","Non encore payée",IF(I297&lt;0,"Attention, paiement hors délais","OK RAS")))</f>
        <v/>
      </c>
      <c r="K297" s="31" t="n"/>
      <c r="L297" s="31" t="n"/>
      <c r="M297" s="31" t="n"/>
    </row>
    <row r="298" ht="14" customHeight="1">
      <c r="B298" s="55" t="n"/>
      <c r="C298" s="25" t="n"/>
      <c r="D298" s="25" t="n"/>
      <c r="E298" s="26" t="n"/>
      <c r="F298" s="67" t="n"/>
      <c r="G298" s="2">
        <f>+IF(Tableau1[[#This Row],[Fournisseur]]="","",IFERROR(VLOOKUP(Tableau1[[#This Row],[Fournisseur]],SuiviFrs,2,FALSE),"Vérifier la syntaxe : Fournisseur introuvable au niveau du suivi des conventions"))</f>
        <v/>
      </c>
      <c r="H298" s="7">
        <f>++IF(Tableau1[[#This Row],[Fournisseur]]="","",C298+G298-1)</f>
        <v/>
      </c>
      <c r="I298" s="8">
        <f>++IF(Tableau1[[#This Row],[Fournisseur]]="","",IF(H298-Tableau1[[#This Row],[Date Paiement Effectif]]&gt;0," ",H298-Tableau1[[#This Row],[Date Paiement Effectif]]))</f>
        <v/>
      </c>
      <c r="J298" s="9">
        <f>++IF(Tableau1[[#This Row],[Fournisseur]]="","",IF(Tableau1[[#This Row],[Date Paiement Effectif]]="","Non encore payée",IF(I298&lt;0,"Attention, paiement hors délais","OK RAS")))</f>
        <v/>
      </c>
      <c r="K298" s="31" t="n"/>
      <c r="L298" s="31" t="n"/>
      <c r="M298" s="31" t="n"/>
    </row>
    <row r="299" ht="14" customHeight="1">
      <c r="B299" s="55" t="n"/>
      <c r="C299" s="25" t="n"/>
      <c r="D299" s="25" t="n"/>
      <c r="E299" s="26" t="n"/>
      <c r="F299" s="67" t="n"/>
      <c r="G299" s="2">
        <f>+IF(Tableau1[[#This Row],[Fournisseur]]="","",IFERROR(VLOOKUP(Tableau1[[#This Row],[Fournisseur]],SuiviFrs,2,FALSE),"Vérifier la syntaxe : Fournisseur introuvable au niveau du suivi des conventions"))</f>
        <v/>
      </c>
      <c r="H299" s="7">
        <f>++IF(Tableau1[[#This Row],[Fournisseur]]="","",C299+G299-1)</f>
        <v/>
      </c>
      <c r="I299" s="8">
        <f>++IF(Tableau1[[#This Row],[Fournisseur]]="","",IF(H299-Tableau1[[#This Row],[Date Paiement Effectif]]&gt;0," ",H299-Tableau1[[#This Row],[Date Paiement Effectif]]))</f>
        <v/>
      </c>
      <c r="J299" s="9">
        <f>++IF(Tableau1[[#This Row],[Fournisseur]]="","",IF(Tableau1[[#This Row],[Date Paiement Effectif]]="","Non encore payée",IF(I299&lt;0,"Attention, paiement hors délais","OK RAS")))</f>
        <v/>
      </c>
      <c r="K299" s="31" t="n"/>
      <c r="L299" s="31" t="n"/>
      <c r="M299" s="31" t="n"/>
    </row>
    <row r="300" ht="14" customHeight="1">
      <c r="B300" s="55" t="n"/>
      <c r="C300" s="25" t="n"/>
      <c r="D300" s="25" t="n"/>
      <c r="E300" s="26" t="n"/>
      <c r="F300" s="67" t="n"/>
      <c r="G300" s="2">
        <f>+IF(Tableau1[[#This Row],[Fournisseur]]="","",IFERROR(VLOOKUP(Tableau1[[#This Row],[Fournisseur]],SuiviFrs,2,FALSE),"Vérifier la syntaxe : Fournisseur introuvable au niveau du suivi des conventions"))</f>
        <v/>
      </c>
      <c r="H300" s="7">
        <f>++IF(Tableau1[[#This Row],[Fournisseur]]="","",C300+G300-1)</f>
        <v/>
      </c>
      <c r="I300" s="8">
        <f>++IF(Tableau1[[#This Row],[Fournisseur]]="","",IF(H300-Tableau1[[#This Row],[Date Paiement Effectif]]&gt;0," ",H300-Tableau1[[#This Row],[Date Paiement Effectif]]))</f>
        <v/>
      </c>
      <c r="J300" s="9">
        <f>++IF(Tableau1[[#This Row],[Fournisseur]]="","",IF(Tableau1[[#This Row],[Date Paiement Effectif]]="","Non encore payée",IF(I300&lt;0,"Attention, paiement hors délais","OK RAS")))</f>
        <v/>
      </c>
      <c r="K300" s="31" t="n"/>
      <c r="L300" s="31" t="n"/>
      <c r="M300" s="31" t="n"/>
    </row>
    <row r="301" ht="14" customHeight="1">
      <c r="B301" s="55" t="n"/>
      <c r="C301" s="25" t="n"/>
      <c r="D301" s="25" t="n"/>
      <c r="E301" s="26" t="n"/>
      <c r="F301" s="67" t="n"/>
      <c r="G301" s="2">
        <f>+IF(Tableau1[[#This Row],[Fournisseur]]="","",IFERROR(VLOOKUP(Tableau1[[#This Row],[Fournisseur]],SuiviFrs,2,FALSE),"Vérifier la syntaxe : Fournisseur introuvable au niveau du suivi des conventions"))</f>
        <v/>
      </c>
      <c r="H301" s="7">
        <f>++IF(Tableau1[[#This Row],[Fournisseur]]="","",C301+G301-1)</f>
        <v/>
      </c>
      <c r="I301" s="8">
        <f>++IF(Tableau1[[#This Row],[Fournisseur]]="","",IF(H301-Tableau1[[#This Row],[Date Paiement Effectif]]&gt;0," ",H301-Tableau1[[#This Row],[Date Paiement Effectif]]))</f>
        <v/>
      </c>
      <c r="J301" s="9">
        <f>++IF(Tableau1[[#This Row],[Fournisseur]]="","",IF(Tableau1[[#This Row],[Date Paiement Effectif]]="","Non encore payée",IF(I301&lt;0,"Attention, paiement hors délais","OK RAS")))</f>
        <v/>
      </c>
      <c r="K301" s="31" t="n"/>
      <c r="L301" s="31" t="n"/>
      <c r="M301" s="31" t="n"/>
    </row>
    <row r="302" ht="14" customHeight="1">
      <c r="B302" s="55" t="n"/>
      <c r="C302" s="25" t="n"/>
      <c r="D302" s="25" t="n"/>
      <c r="E302" s="26" t="n"/>
      <c r="F302" s="67" t="n"/>
      <c r="G302" s="2">
        <f>+IF(Tableau1[[#This Row],[Fournisseur]]="","",IFERROR(VLOOKUP(Tableau1[[#This Row],[Fournisseur]],SuiviFrs,2,FALSE),"Vérifier la syntaxe : Fournisseur introuvable au niveau du suivi des conventions"))</f>
        <v/>
      </c>
      <c r="H302" s="7">
        <f>++IF(Tableau1[[#This Row],[Fournisseur]]="","",C302+G302-1)</f>
        <v/>
      </c>
      <c r="I302" s="8">
        <f>++IF(Tableau1[[#This Row],[Fournisseur]]="","",IF(H302-Tableau1[[#This Row],[Date Paiement Effectif]]&gt;0," ",H302-Tableau1[[#This Row],[Date Paiement Effectif]]))</f>
        <v/>
      </c>
      <c r="J302" s="9">
        <f>++IF(Tableau1[[#This Row],[Fournisseur]]="","",IF(Tableau1[[#This Row],[Date Paiement Effectif]]="","Non encore payée",IF(I302&lt;0,"Attention, paiement hors délais","OK RAS")))</f>
        <v/>
      </c>
      <c r="K302" s="31" t="n"/>
      <c r="L302" s="31" t="n"/>
      <c r="M302" s="31" t="n"/>
    </row>
    <row r="303" ht="14" customHeight="1">
      <c r="B303" s="55" t="n"/>
      <c r="C303" s="25" t="n"/>
      <c r="D303" s="25" t="n"/>
      <c r="E303" s="26" t="n"/>
      <c r="F303" s="67" t="n"/>
      <c r="G303" s="2">
        <f>+IF(Tableau1[[#This Row],[Fournisseur]]="","",IFERROR(VLOOKUP(Tableau1[[#This Row],[Fournisseur]],SuiviFrs,2,FALSE),"Vérifier la syntaxe : Fournisseur introuvable au niveau du suivi des conventions"))</f>
        <v/>
      </c>
      <c r="H303" s="7">
        <f>++IF(Tableau1[[#This Row],[Fournisseur]]="","",C303+G303-1)</f>
        <v/>
      </c>
      <c r="I303" s="8">
        <f>++IF(Tableau1[[#This Row],[Fournisseur]]="","",IF(H303-Tableau1[[#This Row],[Date Paiement Effectif]]&gt;0," ",H303-Tableau1[[#This Row],[Date Paiement Effectif]]))</f>
        <v/>
      </c>
      <c r="J303" s="9">
        <f>++IF(Tableau1[[#This Row],[Fournisseur]]="","",IF(Tableau1[[#This Row],[Date Paiement Effectif]]="","Non encore payée",IF(I303&lt;0,"Attention, paiement hors délais","OK RAS")))</f>
        <v/>
      </c>
      <c r="K303" s="31" t="n"/>
      <c r="L303" s="31" t="n"/>
      <c r="M303" s="31" t="n"/>
    </row>
    <row r="304" ht="14" customHeight="1">
      <c r="B304" s="55" t="n"/>
      <c r="C304" s="25" t="n"/>
      <c r="D304" s="25" t="n"/>
      <c r="E304" s="26" t="n"/>
      <c r="F304" s="67" t="n"/>
      <c r="G304" s="2">
        <f>+IF(Tableau1[[#This Row],[Fournisseur]]="","",IFERROR(VLOOKUP(Tableau1[[#This Row],[Fournisseur]],SuiviFrs,2,FALSE),"Vérifier la syntaxe : Fournisseur introuvable au niveau du suivi des conventions"))</f>
        <v/>
      </c>
      <c r="H304" s="7">
        <f>++IF(Tableau1[[#This Row],[Fournisseur]]="","",C304+G304-1)</f>
        <v/>
      </c>
      <c r="I304" s="8">
        <f>++IF(Tableau1[[#This Row],[Fournisseur]]="","",IF(H304-Tableau1[[#This Row],[Date Paiement Effectif]]&gt;0," ",H304-Tableau1[[#This Row],[Date Paiement Effectif]]))</f>
        <v/>
      </c>
      <c r="J304" s="9">
        <f>++IF(Tableau1[[#This Row],[Fournisseur]]="","",IF(Tableau1[[#This Row],[Date Paiement Effectif]]="","Non encore payée",IF(I304&lt;0,"Attention, paiement hors délais","OK RAS")))</f>
        <v/>
      </c>
      <c r="K304" s="31" t="n"/>
      <c r="L304" s="31" t="n"/>
      <c r="M304" s="31" t="n"/>
    </row>
    <row r="305" ht="14.25" customHeight="1">
      <c r="B305" s="55" t="n"/>
      <c r="C305" s="25" t="n"/>
      <c r="D305" s="25" t="n"/>
      <c r="E305" s="26" t="n"/>
      <c r="F305" s="67" t="n"/>
      <c r="G305" s="2">
        <f>+IF(Tableau1[[#This Row],[Fournisseur]]="","",IFERROR(VLOOKUP(Tableau1[[#This Row],[Fournisseur]],SuiviFrs,2,FALSE),"Vérifier la syntaxe : Fournisseur introuvable au niveau du suivi des conventions"))</f>
        <v/>
      </c>
      <c r="H305" s="7">
        <f>++IF(Tableau1[[#This Row],[Fournisseur]]="","",C305+G305-1)</f>
        <v/>
      </c>
      <c r="I305" s="8">
        <f>++IF(Tableau1[[#This Row],[Fournisseur]]="","",IF(H305-Tableau1[[#This Row],[Date Paiement Effectif]]&gt;0," ",H305-Tableau1[[#This Row],[Date Paiement Effectif]]))</f>
        <v/>
      </c>
      <c r="J305" s="9">
        <f>++IF(Tableau1[[#This Row],[Fournisseur]]="","",IF(Tableau1[[#This Row],[Date Paiement Effectif]]="","Non encore payée",IF(I305&lt;0,"Attention, paiement hors délais","OK RAS")))</f>
        <v/>
      </c>
      <c r="K305" s="31" t="n"/>
      <c r="L305" s="31" t="n"/>
      <c r="M305" s="31" t="n"/>
    </row>
    <row r="306" ht="14.25" customHeight="1">
      <c r="B306" s="55" t="n"/>
      <c r="C306" s="25" t="n"/>
      <c r="D306" s="25" t="n"/>
      <c r="E306" s="26" t="n"/>
      <c r="F306" s="67" t="n"/>
      <c r="G306" s="2">
        <f>+IF(Tableau1[[#This Row],[Fournisseur]]="","",IFERROR(VLOOKUP(Tableau1[[#This Row],[Fournisseur]],SuiviFrs,2,FALSE),"Vérifier la syntaxe : Fournisseur introuvable au niveau du suivi des conventions"))</f>
        <v/>
      </c>
      <c r="H306" s="7">
        <f>++IF(Tableau1[[#This Row],[Fournisseur]]="","",C306+G306-1)</f>
        <v/>
      </c>
      <c r="I306" s="8">
        <f>++IF(Tableau1[[#This Row],[Fournisseur]]="","",IF(H306-Tableau1[[#This Row],[Date Paiement Effectif]]&gt;0," ",H306-Tableau1[[#This Row],[Date Paiement Effectif]]))</f>
        <v/>
      </c>
      <c r="J306" s="9">
        <f>++IF(Tableau1[[#This Row],[Fournisseur]]="","",IF(Tableau1[[#This Row],[Date Paiement Effectif]]="","Non encore payée",IF(I306&lt;0,"Attention, paiement hors délais","OK RAS")))</f>
        <v/>
      </c>
      <c r="K306" s="31" t="n"/>
      <c r="L306" s="31" t="n"/>
      <c r="M306" s="31" t="n"/>
    </row>
    <row r="307" ht="14.25" customHeight="1">
      <c r="B307" s="55" t="n"/>
      <c r="C307" s="25" t="n"/>
      <c r="D307" s="25" t="n"/>
      <c r="E307" s="26" t="n"/>
      <c r="F307" s="67" t="n"/>
      <c r="G307" s="2">
        <f>+IF(Tableau1[[#This Row],[Fournisseur]]="","",IFERROR(VLOOKUP(Tableau1[[#This Row],[Fournisseur]],SuiviFrs,2,FALSE),"Vérifier la syntaxe : Fournisseur introuvable au niveau du suivi des conventions"))</f>
        <v/>
      </c>
      <c r="H307" s="7">
        <f>++IF(Tableau1[[#This Row],[Fournisseur]]="","",C307+G307-1)</f>
        <v/>
      </c>
      <c r="I307" s="8">
        <f>++IF(Tableau1[[#This Row],[Fournisseur]]="","",IF(H307-Tableau1[[#This Row],[Date Paiement Effectif]]&gt;0," ",H307-Tableau1[[#This Row],[Date Paiement Effectif]]))</f>
        <v/>
      </c>
      <c r="J307" s="9">
        <f>++IF(Tableau1[[#This Row],[Fournisseur]]="","",IF(Tableau1[[#This Row],[Date Paiement Effectif]]="","Non encore payée",IF(I307&lt;0,"Attention, paiement hors délais","OK RAS")))</f>
        <v/>
      </c>
      <c r="K307" s="31" t="n"/>
      <c r="L307" s="31" t="n"/>
      <c r="M307" s="31" t="n"/>
    </row>
    <row r="308" ht="14.25" customHeight="1">
      <c r="B308" s="55" t="n"/>
      <c r="C308" s="25" t="n"/>
      <c r="D308" s="25" t="n"/>
      <c r="E308" s="26" t="n"/>
      <c r="F308" s="67" t="n"/>
      <c r="G308" s="2">
        <f>+IF(Tableau1[[#This Row],[Fournisseur]]="","",IFERROR(VLOOKUP(Tableau1[[#This Row],[Fournisseur]],SuiviFrs,2,FALSE),"Vérifier la syntaxe : Fournisseur introuvable au niveau du suivi des conventions"))</f>
        <v/>
      </c>
      <c r="H308" s="7">
        <f>++IF(Tableau1[[#This Row],[Fournisseur]]="","",C308+G308-1)</f>
        <v/>
      </c>
      <c r="I308" s="8">
        <f>++IF(Tableau1[[#This Row],[Fournisseur]]="","",IF(H308-Tableau1[[#This Row],[Date Paiement Effectif]]&gt;0," ",H308-Tableau1[[#This Row],[Date Paiement Effectif]]))</f>
        <v/>
      </c>
      <c r="J308" s="9">
        <f>++IF(Tableau1[[#This Row],[Fournisseur]]="","",IF(Tableau1[[#This Row],[Date Paiement Effectif]]="","Non encore payée",IF(I308&lt;0,"Attention, paiement hors délais","OK RAS")))</f>
        <v/>
      </c>
      <c r="K308" s="31" t="n"/>
      <c r="L308" s="31" t="n"/>
      <c r="M308" s="31" t="n"/>
    </row>
    <row r="309" ht="14.25" customHeight="1">
      <c r="B309" s="55" t="n"/>
      <c r="C309" s="25" t="n"/>
      <c r="D309" s="25" t="n"/>
      <c r="E309" s="26" t="n"/>
      <c r="F309" s="67" t="n"/>
      <c r="G309" s="2">
        <f>+IF(Tableau1[[#This Row],[Fournisseur]]="","",IFERROR(VLOOKUP(Tableau1[[#This Row],[Fournisseur]],SuiviFrs,2,FALSE),"Vérifier la syntaxe : Fournisseur introuvable au niveau du suivi des conventions"))</f>
        <v/>
      </c>
      <c r="H309" s="7">
        <f>++IF(Tableau1[[#This Row],[Fournisseur]]="","",C309+G309-1)</f>
        <v/>
      </c>
      <c r="I309" s="8">
        <f>++IF(Tableau1[[#This Row],[Fournisseur]]="","",IF(H309-Tableau1[[#This Row],[Date Paiement Effectif]]&gt;0," ",H309-Tableau1[[#This Row],[Date Paiement Effectif]]))</f>
        <v/>
      </c>
      <c r="J309" s="9">
        <f>++IF(Tableau1[[#This Row],[Fournisseur]]="","",IF(Tableau1[[#This Row],[Date Paiement Effectif]]="","Non encore payée",IF(I309&lt;0,"Attention, paiement hors délais","OK RAS")))</f>
        <v/>
      </c>
      <c r="K309" s="31" t="n"/>
      <c r="L309" s="31" t="n"/>
      <c r="M309" s="31" t="n"/>
    </row>
    <row r="310" ht="14.25" customHeight="1">
      <c r="B310" s="55" t="n"/>
      <c r="C310" s="25" t="n"/>
      <c r="D310" s="25" t="n"/>
      <c r="E310" s="26" t="n"/>
      <c r="F310" s="67" t="n"/>
      <c r="G310" s="2">
        <f>+IF(Tableau1[[#This Row],[Fournisseur]]="","",IFERROR(VLOOKUP(Tableau1[[#This Row],[Fournisseur]],SuiviFrs,2,FALSE),"Vérifier la syntaxe : Fournisseur introuvable au niveau du suivi des conventions"))</f>
        <v/>
      </c>
      <c r="H310" s="7">
        <f>++IF(Tableau1[[#This Row],[Fournisseur]]="","",C310+G310-1)</f>
        <v/>
      </c>
      <c r="I310" s="8">
        <f>++IF(Tableau1[[#This Row],[Fournisseur]]="","",IF(H310-Tableau1[[#This Row],[Date Paiement Effectif]]&gt;0," ",H310-Tableau1[[#This Row],[Date Paiement Effectif]]))</f>
        <v/>
      </c>
      <c r="J310" s="9">
        <f>++IF(Tableau1[[#This Row],[Fournisseur]]="","",IF(Tableau1[[#This Row],[Date Paiement Effectif]]="","Non encore payée",IF(I310&lt;0,"Attention, paiement hors délais","OK RAS")))</f>
        <v/>
      </c>
      <c r="K310" s="31" t="n"/>
      <c r="L310" s="31" t="n"/>
      <c r="M310" s="31" t="n"/>
    </row>
    <row r="311" ht="14.25" customHeight="1">
      <c r="B311" s="55" t="n"/>
      <c r="C311" s="25" t="n"/>
      <c r="D311" s="25" t="n"/>
      <c r="E311" s="26" t="n"/>
      <c r="F311" s="67" t="n"/>
      <c r="G311" s="2">
        <f>+IF(Tableau1[[#This Row],[Fournisseur]]="","",IFERROR(VLOOKUP(Tableau1[[#This Row],[Fournisseur]],SuiviFrs,2,FALSE),"Vérifier la syntaxe : Fournisseur introuvable au niveau du suivi des conventions"))</f>
        <v/>
      </c>
      <c r="H311" s="7">
        <f>++IF(Tableau1[[#This Row],[Fournisseur]]="","",C311+G311-1)</f>
        <v/>
      </c>
      <c r="I311" s="8">
        <f>++IF(Tableau1[[#This Row],[Fournisseur]]="","",IF(H311-Tableau1[[#This Row],[Date Paiement Effectif]]&gt;0," ",H311-Tableau1[[#This Row],[Date Paiement Effectif]]))</f>
        <v/>
      </c>
      <c r="J311" s="9">
        <f>++IF(Tableau1[[#This Row],[Fournisseur]]="","",IF(Tableau1[[#This Row],[Date Paiement Effectif]]="","Non encore payée",IF(I311&lt;0,"Attention, paiement hors délais","OK RAS")))</f>
        <v/>
      </c>
      <c r="K311" s="31" t="n"/>
      <c r="L311" s="31" t="n"/>
      <c r="M311" s="31" t="n"/>
    </row>
    <row r="312" ht="14.25" customHeight="1">
      <c r="B312" s="55" t="n"/>
      <c r="C312" s="25" t="n"/>
      <c r="D312" s="25" t="n"/>
      <c r="E312" s="26" t="n"/>
      <c r="F312" s="67" t="n"/>
      <c r="G312" s="2">
        <f>+IF(Tableau1[[#This Row],[Fournisseur]]="","",IFERROR(VLOOKUP(Tableau1[[#This Row],[Fournisseur]],SuiviFrs,2,FALSE),"Vérifier la syntaxe : Fournisseur introuvable au niveau du suivi des conventions"))</f>
        <v/>
      </c>
      <c r="H312" s="7">
        <f>++IF(Tableau1[[#This Row],[Fournisseur]]="","",C312+G312-1)</f>
        <v/>
      </c>
      <c r="I312" s="8">
        <f>++IF(Tableau1[[#This Row],[Fournisseur]]="","",IF(H312-Tableau1[[#This Row],[Date Paiement Effectif]]&gt;0," ",H312-Tableau1[[#This Row],[Date Paiement Effectif]]))</f>
        <v/>
      </c>
      <c r="J312" s="9">
        <f>++IF(Tableau1[[#This Row],[Fournisseur]]="","",IF(Tableau1[[#This Row],[Date Paiement Effectif]]="","Non encore payée",IF(I312&lt;0,"Attention, paiement hors délais","OK RAS")))</f>
        <v/>
      </c>
      <c r="K312" s="31" t="n"/>
      <c r="L312" s="31" t="n"/>
      <c r="M312" s="31" t="n"/>
    </row>
    <row r="313" ht="14.25" customHeight="1">
      <c r="B313" s="55" t="n"/>
      <c r="C313" s="25" t="n"/>
      <c r="D313" s="25" t="n"/>
      <c r="E313" s="26" t="n"/>
      <c r="F313" s="67" t="n"/>
      <c r="G313" s="2">
        <f>+IF(Tableau1[[#This Row],[Fournisseur]]="","",IFERROR(VLOOKUP(Tableau1[[#This Row],[Fournisseur]],SuiviFrs,2,FALSE),"Vérifier la syntaxe : Fournisseur introuvable au niveau du suivi des conventions"))</f>
        <v/>
      </c>
      <c r="H313" s="7">
        <f>++IF(Tableau1[[#This Row],[Fournisseur]]="","",C313+G313-1)</f>
        <v/>
      </c>
      <c r="I313" s="8">
        <f>++IF(Tableau1[[#This Row],[Fournisseur]]="","",IF(H313-Tableau1[[#This Row],[Date Paiement Effectif]]&gt;0," ",H313-Tableau1[[#This Row],[Date Paiement Effectif]]))</f>
        <v/>
      </c>
      <c r="J313" s="9">
        <f>++IF(Tableau1[[#This Row],[Fournisseur]]="","",IF(Tableau1[[#This Row],[Date Paiement Effectif]]="","Non encore payée",IF(I313&lt;0,"Attention, paiement hors délais","OK RAS")))</f>
        <v/>
      </c>
      <c r="K313" s="31" t="n"/>
      <c r="L313" s="31" t="n"/>
      <c r="M313" s="31" t="n"/>
    </row>
    <row r="314" ht="14.25" customHeight="1">
      <c r="B314" s="55" t="n"/>
      <c r="C314" s="25" t="n"/>
      <c r="D314" s="25" t="n"/>
      <c r="E314" s="26" t="n"/>
      <c r="F314" s="67" t="n"/>
      <c r="G314" s="2">
        <f>+IF(Tableau1[[#This Row],[Fournisseur]]="","",IFERROR(VLOOKUP(Tableau1[[#This Row],[Fournisseur]],SuiviFrs,2,FALSE),"Vérifier la syntaxe : Fournisseur introuvable au niveau du suivi des conventions"))</f>
        <v/>
      </c>
      <c r="H314" s="7">
        <f>++IF(Tableau1[[#This Row],[Fournisseur]]="","",C314+G314-1)</f>
        <v/>
      </c>
      <c r="I314" s="8">
        <f>++IF(Tableau1[[#This Row],[Fournisseur]]="","",IF(H314-Tableau1[[#This Row],[Date Paiement Effectif]]&gt;0," ",H314-Tableau1[[#This Row],[Date Paiement Effectif]]))</f>
        <v/>
      </c>
      <c r="J314" s="9">
        <f>++IF(Tableau1[[#This Row],[Fournisseur]]="","",IF(Tableau1[[#This Row],[Date Paiement Effectif]]="","Non encore payée",IF(I314&lt;0,"Attention, paiement hors délais","OK RAS")))</f>
        <v/>
      </c>
      <c r="K314" s="31" t="n"/>
      <c r="L314" s="31" t="n"/>
      <c r="M314" s="31" t="n"/>
    </row>
    <row r="315" ht="14.25" customHeight="1">
      <c r="B315" s="55" t="n"/>
      <c r="C315" s="25" t="n"/>
      <c r="D315" s="25" t="n"/>
      <c r="E315" s="26" t="n"/>
      <c r="F315" s="67" t="n"/>
      <c r="G315" s="2">
        <f>+IF(Tableau1[[#This Row],[Fournisseur]]="","",IFERROR(VLOOKUP(Tableau1[[#This Row],[Fournisseur]],SuiviFrs,2,FALSE),"Vérifier la syntaxe : Fournisseur introuvable au niveau du suivi des conventions"))</f>
        <v/>
      </c>
      <c r="H315" s="7">
        <f>++IF(Tableau1[[#This Row],[Fournisseur]]="","",C315+G315-1)</f>
        <v/>
      </c>
      <c r="I315" s="8">
        <f>++IF(Tableau1[[#This Row],[Fournisseur]]="","",IF(H315-Tableau1[[#This Row],[Date Paiement Effectif]]&gt;0," ",H315-Tableau1[[#This Row],[Date Paiement Effectif]]))</f>
        <v/>
      </c>
      <c r="J315" s="9">
        <f>++IF(Tableau1[[#This Row],[Fournisseur]]="","",IF(Tableau1[[#This Row],[Date Paiement Effectif]]="","Non encore payée",IF(I315&lt;0,"Attention, paiement hors délais","OK RAS")))</f>
        <v/>
      </c>
      <c r="K315" s="31" t="n"/>
      <c r="L315" s="31" t="n"/>
      <c r="M315" s="31" t="n"/>
    </row>
    <row r="316" ht="14.25" customHeight="1">
      <c r="B316" s="55" t="n"/>
      <c r="C316" s="25" t="n"/>
      <c r="D316" s="25" t="n"/>
      <c r="E316" s="26" t="n"/>
      <c r="F316" s="67" t="n"/>
      <c r="G316" s="2">
        <f>+IF(Tableau1[[#This Row],[Fournisseur]]="","",IFERROR(VLOOKUP(Tableau1[[#This Row],[Fournisseur]],SuiviFrs,2,FALSE),"Vérifier la syntaxe : Fournisseur introuvable au niveau du suivi des conventions"))</f>
        <v/>
      </c>
      <c r="H316" s="7">
        <f>++IF(Tableau1[[#This Row],[Fournisseur]]="","",C316+G316-1)</f>
        <v/>
      </c>
      <c r="I316" s="8">
        <f>++IF(Tableau1[[#This Row],[Fournisseur]]="","",IF(H316-Tableau1[[#This Row],[Date Paiement Effectif]]&gt;0," ",H316-Tableau1[[#This Row],[Date Paiement Effectif]]))</f>
        <v/>
      </c>
      <c r="J316" s="9">
        <f>++IF(Tableau1[[#This Row],[Fournisseur]]="","",IF(Tableau1[[#This Row],[Date Paiement Effectif]]="","Non encore payée",IF(I316&lt;0,"Attention, paiement hors délais","OK RAS")))</f>
        <v/>
      </c>
      <c r="K316" s="31" t="n"/>
      <c r="L316" s="31" t="n"/>
      <c r="M316" s="31" t="n"/>
    </row>
    <row r="317" ht="14.25" customHeight="1">
      <c r="B317" s="55" t="n"/>
      <c r="C317" s="25" t="n"/>
      <c r="D317" s="25" t="n"/>
      <c r="E317" s="26" t="n"/>
      <c r="F317" s="67" t="n"/>
      <c r="G317" s="2">
        <f>+IF(Tableau1[[#This Row],[Fournisseur]]="","",IFERROR(VLOOKUP(Tableau1[[#This Row],[Fournisseur]],SuiviFrs,2,FALSE),"Vérifier la syntaxe : Fournisseur introuvable au niveau du suivi des conventions"))</f>
        <v/>
      </c>
      <c r="H317" s="7">
        <f>++IF(Tableau1[[#This Row],[Fournisseur]]="","",C317+G317-1)</f>
        <v/>
      </c>
      <c r="I317" s="8">
        <f>++IF(Tableau1[[#This Row],[Fournisseur]]="","",IF(H317-Tableau1[[#This Row],[Date Paiement Effectif]]&gt;0," ",H317-Tableau1[[#This Row],[Date Paiement Effectif]]))</f>
        <v/>
      </c>
      <c r="J317" s="9">
        <f>++IF(Tableau1[[#This Row],[Fournisseur]]="","",IF(Tableau1[[#This Row],[Date Paiement Effectif]]="","Non encore payée",IF(I317&lt;0,"Attention, paiement hors délais","OK RAS")))</f>
        <v/>
      </c>
      <c r="K317" s="31" t="n"/>
      <c r="L317" s="31" t="n"/>
      <c r="M317" s="31" t="n"/>
    </row>
    <row r="318" ht="14.25" customHeight="1">
      <c r="B318" s="55" t="n"/>
      <c r="C318" s="25" t="n"/>
      <c r="D318" s="25" t="n"/>
      <c r="E318" s="26" t="n"/>
      <c r="F318" s="67" t="n"/>
      <c r="G318" s="2">
        <f>+IF(Tableau1[[#This Row],[Fournisseur]]="","",IFERROR(VLOOKUP(Tableau1[[#This Row],[Fournisseur]],SuiviFrs,2,FALSE),"Vérifier la syntaxe : Fournisseur introuvable au niveau du suivi des conventions"))</f>
        <v/>
      </c>
      <c r="H318" s="7">
        <f>++IF(Tableau1[[#This Row],[Fournisseur]]="","",C318+G318-1)</f>
        <v/>
      </c>
      <c r="I318" s="8">
        <f>++IF(Tableau1[[#This Row],[Fournisseur]]="","",IF(H318-Tableau1[[#This Row],[Date Paiement Effectif]]&gt;0," ",H318-Tableau1[[#This Row],[Date Paiement Effectif]]))</f>
        <v/>
      </c>
      <c r="J318" s="9">
        <f>++IF(Tableau1[[#This Row],[Fournisseur]]="","",IF(Tableau1[[#This Row],[Date Paiement Effectif]]="","Non encore payée",IF(I318&lt;0,"Attention, paiement hors délais","OK RAS")))</f>
        <v/>
      </c>
      <c r="K318" s="31" t="n"/>
      <c r="L318" s="31" t="n"/>
      <c r="M318" s="31" t="n"/>
    </row>
    <row r="319" ht="14.25" customHeight="1">
      <c r="B319" s="55" t="n"/>
      <c r="C319" s="25" t="n"/>
      <c r="D319" s="25" t="n"/>
      <c r="E319" s="26" t="n"/>
      <c r="F319" s="67" t="n"/>
      <c r="G319" s="2">
        <f>+IF(Tableau1[[#This Row],[Fournisseur]]="","",IFERROR(VLOOKUP(Tableau1[[#This Row],[Fournisseur]],SuiviFrs,2,FALSE),"Vérifier la syntaxe : Fournisseur introuvable au niveau du suivi des conventions"))</f>
        <v/>
      </c>
      <c r="H319" s="7">
        <f>++IF(Tableau1[[#This Row],[Fournisseur]]="","",C319+G319-1)</f>
        <v/>
      </c>
      <c r="I319" s="8">
        <f>++IF(Tableau1[[#This Row],[Fournisseur]]="","",IF(H319-Tableau1[[#This Row],[Date Paiement Effectif]]&gt;0," ",H319-Tableau1[[#This Row],[Date Paiement Effectif]]))</f>
        <v/>
      </c>
      <c r="J319" s="9">
        <f>++IF(Tableau1[[#This Row],[Fournisseur]]="","",IF(Tableau1[[#This Row],[Date Paiement Effectif]]="","Non encore payée",IF(I319&lt;0,"Attention, paiement hors délais","OK RAS")))</f>
        <v/>
      </c>
      <c r="K319" s="31" t="n"/>
      <c r="L319" s="31" t="n"/>
      <c r="M319" s="31" t="n"/>
    </row>
    <row r="320" ht="14.25" customHeight="1">
      <c r="B320" s="55" t="n"/>
      <c r="C320" s="25" t="n"/>
      <c r="D320" s="25" t="n"/>
      <c r="E320" s="26" t="n"/>
      <c r="F320" s="67" t="n"/>
      <c r="G320" s="2">
        <f>+IF(Tableau1[[#This Row],[Fournisseur]]="","",IFERROR(VLOOKUP(Tableau1[[#This Row],[Fournisseur]],SuiviFrs,2,FALSE),"Vérifier la syntaxe : Fournisseur introuvable au niveau du suivi des conventions"))</f>
        <v/>
      </c>
      <c r="H320" s="7">
        <f>++IF(Tableau1[[#This Row],[Fournisseur]]="","",C320+G320-1)</f>
        <v/>
      </c>
      <c r="I320" s="8">
        <f>++IF(Tableau1[[#This Row],[Fournisseur]]="","",IF(H320-Tableau1[[#This Row],[Date Paiement Effectif]]&gt;0," ",H320-Tableau1[[#This Row],[Date Paiement Effectif]]))</f>
        <v/>
      </c>
      <c r="J320" s="9">
        <f>++IF(Tableau1[[#This Row],[Fournisseur]]="","",IF(Tableau1[[#This Row],[Date Paiement Effectif]]="","Non encore payée",IF(I320&lt;0,"Attention, paiement hors délais","OK RAS")))</f>
        <v/>
      </c>
      <c r="K320" s="31" t="n"/>
      <c r="L320" s="31" t="n"/>
      <c r="M320" s="31" t="n"/>
    </row>
    <row r="321" ht="14.25" customHeight="1">
      <c r="B321" s="55" t="n"/>
      <c r="C321" s="25" t="n"/>
      <c r="D321" s="25" t="n"/>
      <c r="E321" s="26" t="n"/>
      <c r="F321" s="67" t="n"/>
      <c r="G321" s="2">
        <f>+IF(Tableau1[[#This Row],[Fournisseur]]="","",IFERROR(VLOOKUP(Tableau1[[#This Row],[Fournisseur]],SuiviFrs,2,FALSE),"Vérifier la syntaxe : Fournisseur introuvable au niveau du suivi des conventions"))</f>
        <v/>
      </c>
      <c r="H321" s="7">
        <f>++IF(Tableau1[[#This Row],[Fournisseur]]="","",C321+G321-1)</f>
        <v/>
      </c>
      <c r="I321" s="8">
        <f>++IF(Tableau1[[#This Row],[Fournisseur]]="","",IF(H321-Tableau1[[#This Row],[Date Paiement Effectif]]&gt;0," ",H321-Tableau1[[#This Row],[Date Paiement Effectif]]))</f>
        <v/>
      </c>
      <c r="J321" s="9">
        <f>++IF(Tableau1[[#This Row],[Fournisseur]]="","",IF(Tableau1[[#This Row],[Date Paiement Effectif]]="","Non encore payée",IF(I321&lt;0,"Attention, paiement hors délais","OK RAS")))</f>
        <v/>
      </c>
      <c r="K321" s="54" t="n">
        <v>46100</v>
      </c>
      <c r="L321" s="54" t="n"/>
      <c r="M321" s="31" t="n"/>
    </row>
    <row r="322" ht="14.25" customHeight="1">
      <c r="B322" s="55" t="n"/>
      <c r="C322" s="25" t="n"/>
      <c r="D322" s="25" t="n"/>
      <c r="E322" s="26" t="n"/>
      <c r="F322" s="67" t="n"/>
      <c r="G322" s="2">
        <f>+IF(Tableau1[[#This Row],[Fournisseur]]="","",IFERROR(VLOOKUP(Tableau1[[#This Row],[Fournisseur]],SuiviFrs,2,FALSE),"Vérifier la syntaxe : Fournisseur introuvable au niveau du suivi des conventions"))</f>
        <v/>
      </c>
      <c r="H322" s="7">
        <f>++IF(Tableau1[[#This Row],[Fournisseur]]="","",C322+G322-1)</f>
        <v/>
      </c>
      <c r="I322" s="8">
        <f>++IF(Tableau1[[#This Row],[Fournisseur]]="","",IF(H322-Tableau1[[#This Row],[Date Paiement Effectif]]&gt;0," ",H322-Tableau1[[#This Row],[Date Paiement Effectif]]))</f>
        <v/>
      </c>
      <c r="J322" s="9">
        <f>++IF(Tableau1[[#This Row],[Fournisseur]]="","",IF(Tableau1[[#This Row],[Date Paiement Effectif]]="","Non encore payée",IF(I322&lt;0,"Attention, paiement hors délais","OK RAS")))</f>
        <v/>
      </c>
      <c r="K322" s="31" t="n"/>
      <c r="L322" s="31" t="n"/>
      <c r="M322" s="31" t="n"/>
    </row>
    <row r="323" ht="14.25" customHeight="1">
      <c r="B323" s="55" t="n"/>
      <c r="C323" s="25" t="n"/>
      <c r="D323" s="25" t="n"/>
      <c r="E323" s="26" t="n"/>
      <c r="F323" s="67" t="n"/>
      <c r="G323" s="2">
        <f>+IF(Tableau1[[#This Row],[Fournisseur]]="","",IFERROR(VLOOKUP(Tableau1[[#This Row],[Fournisseur]],SuiviFrs,2,FALSE),"Vérifier la syntaxe : Fournisseur introuvable au niveau du suivi des conventions"))</f>
        <v/>
      </c>
      <c r="H323" s="7">
        <f>++IF(Tableau1[[#This Row],[Fournisseur]]="","",C323+G323-1)</f>
        <v/>
      </c>
      <c r="I323" s="8">
        <f>++IF(Tableau1[[#This Row],[Fournisseur]]="","",IF(H323-Tableau1[[#This Row],[Date Paiement Effectif]]&gt;0," ",H323-Tableau1[[#This Row],[Date Paiement Effectif]]))</f>
        <v/>
      </c>
      <c r="J323" s="9">
        <f>++IF(Tableau1[[#This Row],[Fournisseur]]="","",IF(Tableau1[[#This Row],[Date Paiement Effectif]]="","Non encore payée",IF(I323&lt;0,"Attention, paiement hors délais","OK RAS")))</f>
        <v/>
      </c>
      <c r="K323" s="31" t="n"/>
      <c r="L323" s="31" t="n"/>
      <c r="M323" s="31" t="n"/>
    </row>
    <row r="324" ht="14.25" customHeight="1">
      <c r="B324" s="55" t="n"/>
      <c r="C324" s="25" t="n"/>
      <c r="D324" s="25" t="n"/>
      <c r="E324" s="26" t="n"/>
      <c r="F324" s="67" t="n"/>
      <c r="G324" s="2">
        <f>+IF(Tableau1[[#This Row],[Fournisseur]]="","",IFERROR(VLOOKUP(Tableau1[[#This Row],[Fournisseur]],SuiviFrs,2,FALSE),"Vérifier la syntaxe : Fournisseur introuvable au niveau du suivi des conventions"))</f>
        <v/>
      </c>
      <c r="H324" s="7">
        <f>++IF(Tableau1[[#This Row],[Fournisseur]]="","",C324+G324-1)</f>
        <v/>
      </c>
      <c r="I324" s="8">
        <f>++IF(Tableau1[[#This Row],[Fournisseur]]="","",IF(H324-Tableau1[[#This Row],[Date Paiement Effectif]]&gt;0," ",H324-Tableau1[[#This Row],[Date Paiement Effectif]]))</f>
        <v/>
      </c>
      <c r="J324" s="9">
        <f>++IF(Tableau1[[#This Row],[Fournisseur]]="","",IF(Tableau1[[#This Row],[Date Paiement Effectif]]="","Non encore payée",IF(I324&lt;0,"Attention, paiement hors délais","OK RAS")))</f>
        <v/>
      </c>
      <c r="K324" s="31" t="n"/>
      <c r="L324" s="31" t="n"/>
      <c r="M324" s="31" t="n"/>
    </row>
    <row r="325" ht="14.25" customHeight="1">
      <c r="B325" s="55" t="n"/>
      <c r="C325" s="25" t="n"/>
      <c r="D325" s="25" t="n"/>
      <c r="E325" s="26" t="n"/>
      <c r="F325" s="67" t="n"/>
      <c r="G325" s="2">
        <f>+IF(Tableau1[[#This Row],[Fournisseur]]="","",IFERROR(VLOOKUP(Tableau1[[#This Row],[Fournisseur]],SuiviFrs,2,FALSE),"Vérifier la syntaxe : Fournisseur introuvable au niveau du suivi des conventions"))</f>
        <v/>
      </c>
      <c r="H325" s="7">
        <f>++IF(Tableau1[[#This Row],[Fournisseur]]="","",C325+G325-1)</f>
        <v/>
      </c>
      <c r="I325" s="8">
        <f>++IF(Tableau1[[#This Row],[Fournisseur]]="","",IF(H325-Tableau1[[#This Row],[Date Paiement Effectif]]&gt;0," ",H325-Tableau1[[#This Row],[Date Paiement Effectif]]))</f>
        <v/>
      </c>
      <c r="J325" s="9">
        <f>++IF(Tableau1[[#This Row],[Fournisseur]]="","",IF(Tableau1[[#This Row],[Date Paiement Effectif]]="","Non encore payée",IF(I325&lt;0,"Attention, paiement hors délais","OK RAS")))</f>
        <v/>
      </c>
      <c r="K325" s="31" t="n"/>
      <c r="L325" s="31" t="n"/>
      <c r="M325" s="31" t="n"/>
    </row>
    <row r="326" ht="14.25" customHeight="1">
      <c r="B326" s="55" t="n"/>
      <c r="C326" s="25" t="n"/>
      <c r="D326" s="25" t="n"/>
      <c r="E326" s="26" t="n"/>
      <c r="F326" s="67" t="n"/>
      <c r="G326" s="2">
        <f>+IF(Tableau1[[#This Row],[Fournisseur]]="","",IFERROR(VLOOKUP(Tableau1[[#This Row],[Fournisseur]],SuiviFrs,2,FALSE),"Vérifier la syntaxe : Fournisseur introuvable au niveau du suivi des conventions"))</f>
        <v/>
      </c>
      <c r="H326" s="7">
        <f>++IF(Tableau1[[#This Row],[Fournisseur]]="","",C326+G326-1)</f>
        <v/>
      </c>
      <c r="I326" s="8">
        <f>++IF(Tableau1[[#This Row],[Fournisseur]]="","",IF(H326-Tableau1[[#This Row],[Date Paiement Effectif]]&gt;0," ",H326-Tableau1[[#This Row],[Date Paiement Effectif]]))</f>
        <v/>
      </c>
      <c r="J326" s="9">
        <f>++IF(Tableau1[[#This Row],[Fournisseur]]="","",IF(Tableau1[[#This Row],[Date Paiement Effectif]]="","Non encore payée",IF(I326&lt;0,"Attention, paiement hors délais","OK RAS")))</f>
        <v/>
      </c>
      <c r="K326" s="31" t="n"/>
      <c r="L326" s="31" t="n"/>
      <c r="M326" s="31" t="n"/>
    </row>
    <row r="327" ht="14.25" customHeight="1">
      <c r="B327" s="55" t="n"/>
      <c r="C327" s="25" t="n"/>
      <c r="D327" s="25" t="n"/>
      <c r="E327" s="26" t="n"/>
      <c r="F327" s="67" t="n"/>
      <c r="G327" s="2">
        <f>+IF(Tableau1[[#This Row],[Fournisseur]]="","",IFERROR(VLOOKUP(Tableau1[[#This Row],[Fournisseur]],SuiviFrs,2,FALSE),"Vérifier la syntaxe : Fournisseur introuvable au niveau du suivi des conventions"))</f>
        <v/>
      </c>
      <c r="H327" s="7">
        <f>++IF(Tableau1[[#This Row],[Fournisseur]]="","",C327+G327-1)</f>
        <v/>
      </c>
      <c r="I327" s="8">
        <f>++IF(Tableau1[[#This Row],[Fournisseur]]="","",IF(H327-Tableau1[[#This Row],[Date Paiement Effectif]]&gt;0," ",H327-Tableau1[[#This Row],[Date Paiement Effectif]]))</f>
        <v/>
      </c>
      <c r="J327" s="9">
        <f>++IF(Tableau1[[#This Row],[Fournisseur]]="","",IF(Tableau1[[#This Row],[Date Paiement Effectif]]="","Non encore payée",IF(I327&lt;0,"Attention, paiement hors délais","OK RAS")))</f>
        <v/>
      </c>
      <c r="K327" s="31" t="n"/>
      <c r="L327" s="31" t="n"/>
      <c r="M327" s="31" t="n"/>
    </row>
    <row r="328" ht="14.25" customHeight="1">
      <c r="B328" s="55" t="n"/>
      <c r="C328" s="25" t="n"/>
      <c r="D328" s="25" t="n"/>
      <c r="E328" s="26" t="n"/>
      <c r="F328" s="67" t="n"/>
      <c r="G328" s="2">
        <f>+IF(Tableau1[[#This Row],[Fournisseur]]="","",IFERROR(VLOOKUP(Tableau1[[#This Row],[Fournisseur]],SuiviFrs,2,FALSE),"Vérifier la syntaxe : Fournisseur introuvable au niveau du suivi des conventions"))</f>
        <v/>
      </c>
      <c r="H328" s="7">
        <f>++IF(Tableau1[[#This Row],[Fournisseur]]="","",C328+G328-1)</f>
        <v/>
      </c>
      <c r="I328" s="8">
        <f>++IF(Tableau1[[#This Row],[Fournisseur]]="","",IF(H328-Tableau1[[#This Row],[Date Paiement Effectif]]&gt;0," ",H328-Tableau1[[#This Row],[Date Paiement Effectif]]))</f>
        <v/>
      </c>
      <c r="J328" s="9">
        <f>++IF(Tableau1[[#This Row],[Fournisseur]]="","",IF(Tableau1[[#This Row],[Date Paiement Effectif]]="","Non encore payée",IF(I328&lt;0,"Attention, paiement hors délais","OK RAS")))</f>
        <v/>
      </c>
      <c r="K328" s="31" t="n"/>
      <c r="L328" s="31" t="n"/>
      <c r="M328" s="31" t="n"/>
    </row>
    <row r="329" ht="14.25" customHeight="1">
      <c r="B329" s="55" t="n"/>
      <c r="C329" s="25" t="n"/>
      <c r="D329" s="25" t="n"/>
      <c r="E329" s="26" t="n"/>
      <c r="F329" s="67" t="n"/>
      <c r="G329" s="2">
        <f>+IF(Tableau1[[#This Row],[Fournisseur]]="","",IFERROR(VLOOKUP(Tableau1[[#This Row],[Fournisseur]],SuiviFrs,2,FALSE),"Vérifier la syntaxe : Fournisseur introuvable au niveau du suivi des conventions"))</f>
        <v/>
      </c>
      <c r="H329" s="7">
        <f>++IF(Tableau1[[#This Row],[Fournisseur]]="","",C329+G329-1)</f>
        <v/>
      </c>
      <c r="I329" s="8">
        <f>++IF(Tableau1[[#This Row],[Fournisseur]]="","",IF(H329-Tableau1[[#This Row],[Date Paiement Effectif]]&gt;0," ",H329-Tableau1[[#This Row],[Date Paiement Effectif]]))</f>
        <v/>
      </c>
      <c r="J329" s="9">
        <f>++IF(Tableau1[[#This Row],[Fournisseur]]="","",IF(Tableau1[[#This Row],[Date Paiement Effectif]]="","Non encore payée",IF(I329&lt;0,"Attention, paiement hors délais","OK RAS")))</f>
        <v/>
      </c>
      <c r="K329" s="31" t="n"/>
      <c r="L329" s="31" t="n"/>
      <c r="M329" s="31" t="n"/>
    </row>
    <row r="330" ht="14.25" customHeight="1">
      <c r="B330" s="55" t="n"/>
      <c r="C330" s="25" t="n"/>
      <c r="D330" s="25" t="n"/>
      <c r="E330" s="26" t="n"/>
      <c r="F330" s="67" t="n"/>
      <c r="G330" s="2">
        <f>+IF(Tableau1[[#This Row],[Fournisseur]]="","",IFERROR(VLOOKUP(Tableau1[[#This Row],[Fournisseur]],SuiviFrs,2,FALSE),"Vérifier la syntaxe : Fournisseur introuvable au niveau du suivi des conventions"))</f>
        <v/>
      </c>
      <c r="H330" s="7">
        <f>++IF(Tableau1[[#This Row],[Fournisseur]]="","",C330+G330-1)</f>
        <v/>
      </c>
      <c r="I330" s="8">
        <f>++IF(Tableau1[[#This Row],[Fournisseur]]="","",IF(H330-Tableau1[[#This Row],[Date Paiement Effectif]]&gt;0," ",H330-Tableau1[[#This Row],[Date Paiement Effectif]]))</f>
        <v/>
      </c>
      <c r="J330" s="9">
        <f>++IF(Tableau1[[#This Row],[Fournisseur]]="","",IF(Tableau1[[#This Row],[Date Paiement Effectif]]="","Non encore payée",IF(I330&lt;0,"Attention, paiement hors délais","OK RAS")))</f>
        <v/>
      </c>
      <c r="K330" s="31" t="n"/>
      <c r="L330" s="31" t="n"/>
      <c r="M330" s="31" t="n"/>
    </row>
    <row r="331" ht="14.25" customHeight="1">
      <c r="B331" s="55" t="n"/>
      <c r="C331" s="25" t="n"/>
      <c r="D331" s="25" t="n"/>
      <c r="E331" s="26" t="n"/>
      <c r="F331" s="67" t="n"/>
      <c r="G331" s="2">
        <f>+IF(Tableau1[[#This Row],[Fournisseur]]="","",IFERROR(VLOOKUP(Tableau1[[#This Row],[Fournisseur]],SuiviFrs,2,FALSE),"Vérifier la syntaxe : Fournisseur introuvable au niveau du suivi des conventions"))</f>
        <v/>
      </c>
      <c r="H331" s="7">
        <f>++IF(Tableau1[[#This Row],[Fournisseur]]="","",C331+G331-1)</f>
        <v/>
      </c>
      <c r="I331" s="8">
        <f>++IF(Tableau1[[#This Row],[Fournisseur]]="","",IF(H331-Tableau1[[#This Row],[Date Paiement Effectif]]&gt;0," ",H331-Tableau1[[#This Row],[Date Paiement Effectif]]))</f>
        <v/>
      </c>
      <c r="J331" s="9">
        <f>++IF(Tableau1[[#This Row],[Fournisseur]]="","",IF(Tableau1[[#This Row],[Date Paiement Effectif]]="","Non encore payée",IF(I331&lt;0,"Attention, paiement hors délais","OK RAS")))</f>
        <v/>
      </c>
      <c r="K331" s="31" t="n"/>
      <c r="L331" s="31" t="n"/>
      <c r="M331" s="31" t="n"/>
    </row>
    <row r="332" ht="14.25" customHeight="1">
      <c r="B332" s="55" t="n"/>
      <c r="C332" s="25" t="n"/>
      <c r="D332" s="25" t="n"/>
      <c r="E332" s="26" t="n"/>
      <c r="F332" s="67" t="n"/>
      <c r="G332" s="2">
        <f>+IF(Tableau1[[#This Row],[Fournisseur]]="","",IFERROR(VLOOKUP(Tableau1[[#This Row],[Fournisseur]],SuiviFrs,2,FALSE),"Vérifier la syntaxe : Fournisseur introuvable au niveau du suivi des conventions"))</f>
        <v/>
      </c>
      <c r="H332" s="7">
        <f>++IF(Tableau1[[#This Row],[Fournisseur]]="","",C332+G332-1)</f>
        <v/>
      </c>
      <c r="I332" s="8">
        <f>++IF(Tableau1[[#This Row],[Fournisseur]]="","",IF(H332-Tableau1[[#This Row],[Date Paiement Effectif]]&gt;0," ",H332-Tableau1[[#This Row],[Date Paiement Effectif]]))</f>
        <v/>
      </c>
      <c r="J332" s="9">
        <f>++IF(Tableau1[[#This Row],[Fournisseur]]="","",IF(Tableau1[[#This Row],[Date Paiement Effectif]]="","Non encore payée",IF(I332&lt;0,"Attention, paiement hors délais","OK RAS")))</f>
        <v/>
      </c>
      <c r="K332" s="31" t="n"/>
      <c r="L332" s="31" t="n"/>
      <c r="M332" s="31" t="n"/>
    </row>
    <row r="333" ht="14.25" customHeight="1">
      <c r="B333" s="55" t="n"/>
      <c r="C333" s="25" t="n"/>
      <c r="D333" s="25" t="n"/>
      <c r="E333" s="26" t="n"/>
      <c r="F333" s="67" t="n"/>
      <c r="G333" s="2">
        <f>+IF(Tableau1[[#This Row],[Fournisseur]]="","",IFERROR(VLOOKUP(Tableau1[[#This Row],[Fournisseur]],SuiviFrs,2,FALSE),"Vérifier la syntaxe : Fournisseur introuvable au niveau du suivi des conventions"))</f>
        <v/>
      </c>
      <c r="H333" s="7">
        <f>++IF(Tableau1[[#This Row],[Fournisseur]]="","",C333+G333-1)</f>
        <v/>
      </c>
      <c r="I333" s="8">
        <f>++IF(Tableau1[[#This Row],[Fournisseur]]="","",IF(H333-Tableau1[[#This Row],[Date Paiement Effectif]]&gt;0," ",H333-Tableau1[[#This Row],[Date Paiement Effectif]]))</f>
        <v/>
      </c>
      <c r="J333" s="9">
        <f>++IF(Tableau1[[#This Row],[Fournisseur]]="","",IF(Tableau1[[#This Row],[Date Paiement Effectif]]="","Non encore payée",IF(I333&lt;0,"Attention, paiement hors délais","OK RAS")))</f>
        <v/>
      </c>
      <c r="K333" s="31" t="n"/>
      <c r="L333" s="31" t="n"/>
      <c r="M333" s="31" t="n"/>
    </row>
    <row r="334" ht="14.25" customHeight="1">
      <c r="B334" s="55" t="n"/>
      <c r="C334" s="25" t="n"/>
      <c r="D334" s="25" t="n"/>
      <c r="E334" s="26" t="n"/>
      <c r="F334" s="67" t="n"/>
      <c r="G334" s="2">
        <f>+IF(Tableau1[[#This Row],[Fournisseur]]="","",IFERROR(VLOOKUP(Tableau1[[#This Row],[Fournisseur]],SuiviFrs,2,FALSE),"Vérifier la syntaxe : Fournisseur introuvable au niveau du suivi des conventions"))</f>
        <v/>
      </c>
      <c r="H334" s="7">
        <f>++IF(Tableau1[[#This Row],[Fournisseur]]="","",C334+G334-1)</f>
        <v/>
      </c>
      <c r="I334" s="8">
        <f>++IF(Tableau1[[#This Row],[Fournisseur]]="","",IF(H334-Tableau1[[#This Row],[Date Paiement Effectif]]&gt;0," ",H334-Tableau1[[#This Row],[Date Paiement Effectif]]))</f>
        <v/>
      </c>
      <c r="J334" s="9">
        <f>++IF(Tableau1[[#This Row],[Fournisseur]]="","",IF(Tableau1[[#This Row],[Date Paiement Effectif]]="","Non encore payée",IF(I334&lt;0,"Attention, paiement hors délais","OK RAS")))</f>
        <v/>
      </c>
      <c r="K334" s="31" t="n"/>
      <c r="L334" s="31" t="n"/>
      <c r="M334" s="31" t="n"/>
    </row>
    <row r="335" ht="14.25" customHeight="1">
      <c r="B335" s="55" t="n"/>
      <c r="C335" s="25" t="n"/>
      <c r="D335" s="25" t="n"/>
      <c r="E335" s="26" t="n"/>
      <c r="F335" s="67" t="n"/>
      <c r="G335" s="2">
        <f>+IF(Tableau1[[#This Row],[Fournisseur]]="","",IFERROR(VLOOKUP(Tableau1[[#This Row],[Fournisseur]],SuiviFrs,2,FALSE),"Vérifier la syntaxe : Fournisseur introuvable au niveau du suivi des conventions"))</f>
        <v/>
      </c>
      <c r="H335" s="7">
        <f>++IF(Tableau1[[#This Row],[Fournisseur]]="","",C335+G335-1)</f>
        <v/>
      </c>
      <c r="I335" s="8">
        <f>++IF(Tableau1[[#This Row],[Fournisseur]]="","",IF(H335-Tableau1[[#This Row],[Date Paiement Effectif]]&gt;0," ",H335-Tableau1[[#This Row],[Date Paiement Effectif]]))</f>
        <v/>
      </c>
      <c r="J335" s="9">
        <f>++IF(Tableau1[[#This Row],[Fournisseur]]="","",IF(Tableau1[[#This Row],[Date Paiement Effectif]]="","Non encore payée",IF(I335&lt;0,"Attention, paiement hors délais","OK RAS")))</f>
        <v/>
      </c>
      <c r="K335" s="31" t="n"/>
      <c r="L335" s="31" t="n"/>
      <c r="M335" s="31" t="n"/>
    </row>
    <row r="336" ht="14.25" customHeight="1">
      <c r="B336" s="55" t="n"/>
      <c r="C336" s="25" t="n"/>
      <c r="D336" s="25" t="n"/>
      <c r="E336" s="26" t="n"/>
      <c r="F336" s="67" t="n"/>
      <c r="G336" s="2">
        <f>+IF(Tableau1[[#This Row],[Fournisseur]]="","",IFERROR(VLOOKUP(Tableau1[[#This Row],[Fournisseur]],SuiviFrs,2,FALSE),"Vérifier la syntaxe : Fournisseur introuvable au niveau du suivi des conventions"))</f>
        <v/>
      </c>
      <c r="H336" s="7">
        <f>++IF(Tableau1[[#This Row],[Fournisseur]]="","",C336+G336-1)</f>
        <v/>
      </c>
      <c r="I336" s="8">
        <f>++IF(Tableau1[[#This Row],[Fournisseur]]="","",IF(H336-Tableau1[[#This Row],[Date Paiement Effectif]]&gt;0," ",H336-Tableau1[[#This Row],[Date Paiement Effectif]]))</f>
        <v/>
      </c>
      <c r="J336" s="9">
        <f>++IF(Tableau1[[#This Row],[Fournisseur]]="","",IF(Tableau1[[#This Row],[Date Paiement Effectif]]="","Non encore payée",IF(I336&lt;0,"Attention, paiement hors délais","OK RAS")))</f>
        <v/>
      </c>
      <c r="K336" s="31" t="n"/>
      <c r="L336" s="31" t="n"/>
      <c r="M336" s="31" t="n"/>
    </row>
    <row r="337" ht="14.25" customHeight="1">
      <c r="B337" s="55" t="n"/>
      <c r="C337" s="25" t="n"/>
      <c r="D337" s="25" t="n"/>
      <c r="E337" s="26" t="n"/>
      <c r="F337" s="67" t="n"/>
      <c r="G337" s="2">
        <f>+IF(Tableau1[[#This Row],[Fournisseur]]="","",IFERROR(VLOOKUP(Tableau1[[#This Row],[Fournisseur]],SuiviFrs,2,FALSE),"Vérifier la syntaxe : Fournisseur introuvable au niveau du suivi des conventions"))</f>
        <v/>
      </c>
      <c r="H337" s="7">
        <f>++IF(Tableau1[[#This Row],[Fournisseur]]="","",C337+G337-1)</f>
        <v/>
      </c>
      <c r="I337" s="8">
        <f>++IF(Tableau1[[#This Row],[Fournisseur]]="","",IF(H337-Tableau1[[#This Row],[Date Paiement Effectif]]&gt;0," ",H337-Tableau1[[#This Row],[Date Paiement Effectif]]))</f>
        <v/>
      </c>
      <c r="J337" s="9">
        <f>++IF(Tableau1[[#This Row],[Fournisseur]]="","",IF(Tableau1[[#This Row],[Date Paiement Effectif]]="","Non encore payée",IF(I337&lt;0,"Attention, paiement hors délais","OK RAS")))</f>
        <v/>
      </c>
      <c r="K337" s="31" t="n"/>
      <c r="L337" s="31" t="n"/>
      <c r="M337" s="31" t="n"/>
    </row>
    <row r="338" ht="14.25" customHeight="1">
      <c r="B338" s="55" t="n"/>
      <c r="C338" s="25" t="n"/>
      <c r="D338" s="25" t="n"/>
      <c r="E338" s="26" t="n"/>
      <c r="F338" s="67" t="n"/>
      <c r="G338" s="2">
        <f>+IF(Tableau1[[#This Row],[Fournisseur]]="","",IFERROR(VLOOKUP(Tableau1[[#This Row],[Fournisseur]],SuiviFrs,2,FALSE),"Vérifier la syntaxe : Fournisseur introuvable au niveau du suivi des conventions"))</f>
        <v/>
      </c>
      <c r="H338" s="7">
        <f>++IF(Tableau1[[#This Row],[Fournisseur]]="","",C338+G338-1)</f>
        <v/>
      </c>
      <c r="I338" s="8">
        <f>++IF(Tableau1[[#This Row],[Fournisseur]]="","",IF(H338-Tableau1[[#This Row],[Date Paiement Effectif]]&gt;0," ",H338-Tableau1[[#This Row],[Date Paiement Effectif]]))</f>
        <v/>
      </c>
      <c r="J338" s="9">
        <f>++IF(Tableau1[[#This Row],[Fournisseur]]="","",IF(Tableau1[[#This Row],[Date Paiement Effectif]]="","Non encore payée",IF(I338&lt;0,"Attention, paiement hors délais","OK RAS")))</f>
        <v/>
      </c>
      <c r="K338" s="31" t="n"/>
      <c r="L338" s="31" t="n"/>
      <c r="M338" s="31" t="n"/>
    </row>
    <row r="339" ht="14.25" customHeight="1">
      <c r="B339" s="55" t="n"/>
      <c r="C339" s="25" t="n"/>
      <c r="D339" s="25" t="n"/>
      <c r="E339" s="26" t="n"/>
      <c r="F339" s="67" t="n"/>
      <c r="G339" s="2">
        <f>+IF(Tableau1[[#This Row],[Fournisseur]]="","",IFERROR(VLOOKUP(Tableau1[[#This Row],[Fournisseur]],SuiviFrs,2,FALSE),"Vérifier la syntaxe : Fournisseur introuvable au niveau du suivi des conventions"))</f>
        <v/>
      </c>
      <c r="H339" s="7">
        <f>++IF(Tableau1[[#This Row],[Fournisseur]]="","",C339+G339-1)</f>
        <v/>
      </c>
      <c r="I339" s="8">
        <f>++IF(Tableau1[[#This Row],[Fournisseur]]="","",IF(H339-Tableau1[[#This Row],[Date Paiement Effectif]]&gt;0," ",H339-Tableau1[[#This Row],[Date Paiement Effectif]]))</f>
        <v/>
      </c>
      <c r="J339" s="9">
        <f>++IF(Tableau1[[#This Row],[Fournisseur]]="","",IF(Tableau1[[#This Row],[Date Paiement Effectif]]="","Non encore payée",IF(I339&lt;0,"Attention, paiement hors délais","OK RAS")))</f>
        <v/>
      </c>
      <c r="K339" s="31" t="n"/>
      <c r="L339" s="31" t="n"/>
      <c r="M339" s="31" t="n"/>
    </row>
    <row r="340" ht="14.25" customHeight="1">
      <c r="B340" s="55" t="n"/>
      <c r="C340" s="25" t="n"/>
      <c r="D340" s="25" t="n"/>
      <c r="E340" s="26" t="n"/>
      <c r="F340" s="67" t="n"/>
      <c r="G340" s="2">
        <f>+IF(Tableau1[[#This Row],[Fournisseur]]="","",IFERROR(VLOOKUP(Tableau1[[#This Row],[Fournisseur]],SuiviFrs,2,FALSE),"Vérifier la syntaxe : Fournisseur introuvable au niveau du suivi des conventions"))</f>
        <v/>
      </c>
      <c r="H340" s="7">
        <f>++IF(Tableau1[[#This Row],[Fournisseur]]="","",C340+G340-1)</f>
        <v/>
      </c>
      <c r="I340" s="8">
        <f>++IF(Tableau1[[#This Row],[Fournisseur]]="","",IF(H340-Tableau1[[#This Row],[Date Paiement Effectif]]&gt;0," ",H340-Tableau1[[#This Row],[Date Paiement Effectif]]))</f>
        <v/>
      </c>
      <c r="J340" s="9">
        <f>++IF(Tableau1[[#This Row],[Fournisseur]]="","",IF(Tableau1[[#This Row],[Date Paiement Effectif]]="","Non encore payée",IF(I340&lt;0,"Attention, paiement hors délais","OK RAS")))</f>
        <v/>
      </c>
      <c r="K340" s="31" t="n"/>
      <c r="L340" s="31" t="n"/>
      <c r="M340" s="31" t="n"/>
    </row>
    <row r="341" ht="14.25" customHeight="1">
      <c r="B341" s="55" t="n"/>
      <c r="C341" s="25" t="n"/>
      <c r="D341" s="25" t="n"/>
      <c r="E341" s="26" t="n"/>
      <c r="F341" s="67" t="n"/>
      <c r="G341" s="2">
        <f>+IF(Tableau1[[#This Row],[Fournisseur]]="","",IFERROR(VLOOKUP(Tableau1[[#This Row],[Fournisseur]],SuiviFrs,2,FALSE),"Vérifier la syntaxe : Fournisseur introuvable au niveau du suivi des conventions"))</f>
        <v/>
      </c>
      <c r="H341" s="7">
        <f>++IF(Tableau1[[#This Row],[Fournisseur]]="","",C341+G341-1)</f>
        <v/>
      </c>
      <c r="I341" s="8">
        <f>++IF(Tableau1[[#This Row],[Fournisseur]]="","",IF(H341-Tableau1[[#This Row],[Date Paiement Effectif]]&gt;0," ",H341-Tableau1[[#This Row],[Date Paiement Effectif]]))</f>
        <v/>
      </c>
      <c r="J341" s="9">
        <f>++IF(Tableau1[[#This Row],[Fournisseur]]="","",IF(Tableau1[[#This Row],[Date Paiement Effectif]]="","Non encore payée",IF(I341&lt;0,"Attention, paiement hors délais","OK RAS")))</f>
        <v/>
      </c>
      <c r="K341" s="31" t="n"/>
      <c r="L341" s="31" t="n"/>
      <c r="M341" s="31" t="n"/>
    </row>
    <row r="342" ht="14.25" customHeight="1">
      <c r="B342" s="55" t="n"/>
      <c r="C342" s="25" t="n"/>
      <c r="D342" s="25" t="n"/>
      <c r="E342" s="26" t="n"/>
      <c r="F342" s="67" t="n"/>
      <c r="G342" s="2">
        <f>+IF(Tableau1[[#This Row],[Fournisseur]]="","",IFERROR(VLOOKUP(Tableau1[[#This Row],[Fournisseur]],SuiviFrs,2,FALSE),"Vérifier la syntaxe : Fournisseur introuvable au niveau du suivi des conventions"))</f>
        <v/>
      </c>
      <c r="H342" s="7">
        <f>++IF(Tableau1[[#This Row],[Fournisseur]]="","",C342+G342-1)</f>
        <v/>
      </c>
      <c r="I342" s="8">
        <f>++IF(Tableau1[[#This Row],[Fournisseur]]="","",IF(H342-Tableau1[[#This Row],[Date Paiement Effectif]]&gt;0," ",H342-Tableau1[[#This Row],[Date Paiement Effectif]]))</f>
        <v/>
      </c>
      <c r="J342" s="9">
        <f>++IF(Tableau1[[#This Row],[Fournisseur]]="","",IF(Tableau1[[#This Row],[Date Paiement Effectif]]="","Non encore payée",IF(I342&lt;0,"Attention, paiement hors délais","OK RAS")))</f>
        <v/>
      </c>
      <c r="K342" s="31" t="n"/>
      <c r="L342" s="31" t="n"/>
      <c r="M342" s="31" t="n"/>
    </row>
    <row r="343" ht="14.25" customHeight="1">
      <c r="B343" s="55" t="n"/>
      <c r="C343" s="25" t="n"/>
      <c r="D343" s="25" t="n"/>
      <c r="E343" s="26" t="n"/>
      <c r="F343" s="67" t="n"/>
      <c r="G343" s="2">
        <f>+IF(Tableau1[[#This Row],[Fournisseur]]="","",IFERROR(VLOOKUP(Tableau1[[#This Row],[Fournisseur]],SuiviFrs,2,FALSE),"Vérifier la syntaxe : Fournisseur introuvable au niveau du suivi des conventions"))</f>
        <v/>
      </c>
      <c r="H343" s="7">
        <f>++IF(Tableau1[[#This Row],[Fournisseur]]="","",C343+G343-1)</f>
        <v/>
      </c>
      <c r="I343" s="8">
        <f>++IF(Tableau1[[#This Row],[Fournisseur]]="","",IF(H343-Tableau1[[#This Row],[Date Paiement Effectif]]&gt;0," ",H343-Tableau1[[#This Row],[Date Paiement Effectif]]))</f>
        <v/>
      </c>
      <c r="J343" s="9">
        <f>++IF(Tableau1[[#This Row],[Fournisseur]]="","",IF(Tableau1[[#This Row],[Date Paiement Effectif]]="","Non encore payée",IF(I343&lt;0,"Attention, paiement hors délais","OK RAS")))</f>
        <v/>
      </c>
      <c r="K343" s="31" t="n"/>
      <c r="L343" s="31" t="n"/>
      <c r="M343" s="31" t="n"/>
    </row>
    <row r="344" ht="14.25" customHeight="1">
      <c r="B344" s="55" t="n"/>
      <c r="C344" s="25" t="n"/>
      <c r="D344" s="25" t="n"/>
      <c r="E344" s="26" t="n"/>
      <c r="F344" s="67" t="n"/>
      <c r="G344" s="2">
        <f>+IF(Tableau1[[#This Row],[Fournisseur]]="","",IFERROR(VLOOKUP(Tableau1[[#This Row],[Fournisseur]],SuiviFrs,2,FALSE),"Vérifier la syntaxe : Fournisseur introuvable au niveau du suivi des conventions"))</f>
        <v/>
      </c>
      <c r="H344" s="7">
        <f>++IF(Tableau1[[#This Row],[Fournisseur]]="","",C344+G344-1)</f>
        <v/>
      </c>
      <c r="I344" s="8">
        <f>++IF(Tableau1[[#This Row],[Fournisseur]]="","",IF(H344-Tableau1[[#This Row],[Date Paiement Effectif]]&gt;0," ",H344-Tableau1[[#This Row],[Date Paiement Effectif]]))</f>
        <v/>
      </c>
      <c r="J344" s="9">
        <f>++IF(Tableau1[[#This Row],[Fournisseur]]="","",IF(Tableau1[[#This Row],[Date Paiement Effectif]]="","Non encore payée",IF(I344&lt;0,"Attention, paiement hors délais","OK RAS")))</f>
        <v/>
      </c>
      <c r="K344" s="31" t="n"/>
      <c r="L344" s="31" t="n"/>
      <c r="M344" s="31" t="n"/>
    </row>
    <row r="345" ht="14.25" customHeight="1">
      <c r="B345" s="55" t="n"/>
      <c r="C345" s="25" t="n"/>
      <c r="D345" s="25" t="n"/>
      <c r="E345" s="26" t="n"/>
      <c r="F345" s="67" t="n"/>
      <c r="G345" s="2">
        <f>+IF(Tableau1[[#This Row],[Fournisseur]]="","",IFERROR(VLOOKUP(Tableau1[[#This Row],[Fournisseur]],SuiviFrs,2,FALSE),"Vérifier la syntaxe : Fournisseur introuvable au niveau du suivi des conventions"))</f>
        <v/>
      </c>
      <c r="H345" s="7">
        <f>++IF(Tableau1[[#This Row],[Fournisseur]]="","",C345+G345-1)</f>
        <v/>
      </c>
      <c r="I345" s="8">
        <f>++IF(Tableau1[[#This Row],[Fournisseur]]="","",IF(H345-Tableau1[[#This Row],[Date Paiement Effectif]]&gt;0," ",H345-Tableau1[[#This Row],[Date Paiement Effectif]]))</f>
        <v/>
      </c>
      <c r="J345" s="9">
        <f>++IF(Tableau1[[#This Row],[Fournisseur]]="","",IF(Tableau1[[#This Row],[Date Paiement Effectif]]="","Non encore payée",IF(I345&lt;0,"Attention, paiement hors délais","OK RAS")))</f>
        <v/>
      </c>
      <c r="K345" s="31" t="n"/>
      <c r="L345" s="31" t="n"/>
      <c r="M345" s="31" t="n"/>
    </row>
    <row r="346" ht="14.25" customHeight="1">
      <c r="B346" s="55" t="n"/>
      <c r="C346" s="25" t="n"/>
      <c r="D346" s="25" t="n"/>
      <c r="E346" s="26" t="n"/>
      <c r="F346" s="67" t="n"/>
      <c r="G346" s="2">
        <f>+IF(Tableau1[[#This Row],[Fournisseur]]="","",IFERROR(VLOOKUP(Tableau1[[#This Row],[Fournisseur]],SuiviFrs,2,FALSE),"Vérifier la syntaxe : Fournisseur introuvable au niveau du suivi des conventions"))</f>
        <v/>
      </c>
      <c r="H346" s="7">
        <f>++IF(Tableau1[[#This Row],[Fournisseur]]="","",C346+G346-1)</f>
        <v/>
      </c>
      <c r="I346" s="8">
        <f>++IF(Tableau1[[#This Row],[Fournisseur]]="","",IF(H346-Tableau1[[#This Row],[Date Paiement Effectif]]&gt;0," ",H346-Tableau1[[#This Row],[Date Paiement Effectif]]))</f>
        <v/>
      </c>
      <c r="J346" s="9">
        <f>++IF(Tableau1[[#This Row],[Fournisseur]]="","",IF(Tableau1[[#This Row],[Date Paiement Effectif]]="","Non encore payée",IF(I346&lt;0,"Attention, paiement hors délais","OK RAS")))</f>
        <v/>
      </c>
      <c r="K346" s="31" t="n"/>
      <c r="L346" s="31" t="n"/>
      <c r="M346" s="31" t="n"/>
    </row>
    <row r="347" ht="14.25" customHeight="1">
      <c r="B347" s="55" t="n"/>
      <c r="C347" s="25" t="n"/>
      <c r="D347" s="25" t="n"/>
      <c r="E347" s="26" t="n"/>
      <c r="F347" s="67" t="n"/>
      <c r="G347" s="2">
        <f>+IF(Tableau1[[#This Row],[Fournisseur]]="","",IFERROR(VLOOKUP(Tableau1[[#This Row],[Fournisseur]],SuiviFrs,2,FALSE),"Vérifier la syntaxe : Fournisseur introuvable au niveau du suivi des conventions"))</f>
        <v/>
      </c>
      <c r="H347" s="7">
        <f>++IF(Tableau1[[#This Row],[Fournisseur]]="","",C347+G347-1)</f>
        <v/>
      </c>
      <c r="I347" s="8">
        <f>++IF(Tableau1[[#This Row],[Fournisseur]]="","",IF(H347-Tableau1[[#This Row],[Date Paiement Effectif]]&gt;0," ",H347-Tableau1[[#This Row],[Date Paiement Effectif]]))</f>
        <v/>
      </c>
      <c r="J347" s="9">
        <f>++IF(Tableau1[[#This Row],[Fournisseur]]="","",IF(Tableau1[[#This Row],[Date Paiement Effectif]]="","Non encore payée",IF(I347&lt;0,"Attention, paiement hors délais","OK RAS")))</f>
        <v/>
      </c>
      <c r="K347" s="31" t="n"/>
      <c r="L347" s="31" t="n"/>
      <c r="M347" s="31" t="n"/>
    </row>
    <row r="348" ht="14.25" customHeight="1">
      <c r="B348" s="55" t="n"/>
      <c r="C348" s="25" t="n"/>
      <c r="D348" s="25" t="n"/>
      <c r="E348" s="26" t="n"/>
      <c r="F348" s="67" t="n"/>
      <c r="G348" s="2">
        <f>+IF(Tableau1[[#This Row],[Fournisseur]]="","",IFERROR(VLOOKUP(Tableau1[[#This Row],[Fournisseur]],SuiviFrs,2,FALSE),"Vérifier la syntaxe : Fournisseur introuvable au niveau du suivi des conventions"))</f>
        <v/>
      </c>
      <c r="H348" s="7">
        <f>++IF(Tableau1[[#This Row],[Fournisseur]]="","",C348+G348-1)</f>
        <v/>
      </c>
      <c r="I348" s="8">
        <f>++IF(Tableau1[[#This Row],[Fournisseur]]="","",IF(H348-Tableau1[[#This Row],[Date Paiement Effectif]]&gt;0," ",H348-Tableau1[[#This Row],[Date Paiement Effectif]]))</f>
        <v/>
      </c>
      <c r="J348" s="9">
        <f>++IF(Tableau1[[#This Row],[Fournisseur]]="","",IF(Tableau1[[#This Row],[Date Paiement Effectif]]="","Non encore payée",IF(I348&lt;0,"Attention, paiement hors délais","OK RAS")))</f>
        <v/>
      </c>
      <c r="K348" s="31" t="n"/>
      <c r="L348" s="31" t="n"/>
      <c r="M348" s="31" t="n"/>
    </row>
    <row r="349" ht="14.25" customHeight="1">
      <c r="B349" s="55" t="n"/>
      <c r="C349" s="25" t="n"/>
      <c r="D349" s="25" t="n"/>
      <c r="E349" s="26" t="n"/>
      <c r="F349" s="67" t="n"/>
      <c r="G349" s="2">
        <f>+IF(Tableau1[[#This Row],[Fournisseur]]="","",IFERROR(VLOOKUP(Tableau1[[#This Row],[Fournisseur]],SuiviFrs,2,FALSE),"Vérifier la syntaxe : Fournisseur introuvable au niveau du suivi des conventions"))</f>
        <v/>
      </c>
      <c r="H349" s="7">
        <f>++IF(Tableau1[[#This Row],[Fournisseur]]="","",C349+G349-1)</f>
        <v/>
      </c>
      <c r="I349" s="8">
        <f>++IF(Tableau1[[#This Row],[Fournisseur]]="","",IF(H349-Tableau1[[#This Row],[Date Paiement Effectif]]&gt;0," ",H349-Tableau1[[#This Row],[Date Paiement Effectif]]))</f>
        <v/>
      </c>
      <c r="J349" s="9">
        <f>++IF(Tableau1[[#This Row],[Fournisseur]]="","",IF(Tableau1[[#This Row],[Date Paiement Effectif]]="","Non encore payée",IF(I349&lt;0,"Attention, paiement hors délais","OK RAS")))</f>
        <v/>
      </c>
      <c r="K349" s="31" t="n"/>
      <c r="L349" s="31" t="n"/>
      <c r="M349" s="31" t="n"/>
    </row>
    <row r="350" ht="14.25" customHeight="1">
      <c r="B350" s="55" t="n"/>
      <c r="C350" s="25" t="n"/>
      <c r="D350" s="25" t="n"/>
      <c r="E350" s="26" t="n"/>
      <c r="F350" s="67" t="n"/>
      <c r="G350" s="2">
        <f>+IF(Tableau1[[#This Row],[Fournisseur]]="","",IFERROR(VLOOKUP(Tableau1[[#This Row],[Fournisseur]],SuiviFrs,2,FALSE),"Vérifier la syntaxe : Fournisseur introuvable au niveau du suivi des conventions"))</f>
        <v/>
      </c>
      <c r="H350" s="7">
        <f>++IF(Tableau1[[#This Row],[Fournisseur]]="","",C350+G350-1)</f>
        <v/>
      </c>
      <c r="I350" s="8">
        <f>++IF(Tableau1[[#This Row],[Fournisseur]]="","",IF(H350-Tableau1[[#This Row],[Date Paiement Effectif]]&gt;0," ",H350-Tableau1[[#This Row],[Date Paiement Effectif]]))</f>
        <v/>
      </c>
      <c r="J350" s="9">
        <f>++IF(Tableau1[[#This Row],[Fournisseur]]="","",IF(Tableau1[[#This Row],[Date Paiement Effectif]]="","Non encore payée",IF(I350&lt;0,"Attention, paiement hors délais","OK RAS")))</f>
        <v/>
      </c>
      <c r="K350" s="31" t="n"/>
      <c r="L350" s="31" t="n"/>
      <c r="M350" s="31" t="n"/>
    </row>
    <row r="351" ht="14.25" customHeight="1">
      <c r="B351" s="55" t="n"/>
      <c r="C351" s="25" t="n"/>
      <c r="D351" s="25" t="n"/>
      <c r="E351" s="26" t="n"/>
      <c r="F351" s="67" t="n"/>
      <c r="G351" s="2">
        <f>+IF(Tableau1[[#This Row],[Fournisseur]]="","",IFERROR(VLOOKUP(Tableau1[[#This Row],[Fournisseur]],SuiviFrs,2,FALSE),"Vérifier la syntaxe : Fournisseur introuvable au niveau du suivi des conventions"))</f>
        <v/>
      </c>
      <c r="H351" s="7">
        <f>++IF(Tableau1[[#This Row],[Fournisseur]]="","",C351+G351-1)</f>
        <v/>
      </c>
      <c r="I351" s="8">
        <f>++IF(Tableau1[[#This Row],[Fournisseur]]="","",IF(H351-Tableau1[[#This Row],[Date Paiement Effectif]]&gt;0," ",H351-Tableau1[[#This Row],[Date Paiement Effectif]]))</f>
        <v/>
      </c>
      <c r="J351" s="9">
        <f>++IF(Tableau1[[#This Row],[Fournisseur]]="","",IF(Tableau1[[#This Row],[Date Paiement Effectif]]="","Non encore payée",IF(I351&lt;0,"Attention, paiement hors délais","OK RAS")))</f>
        <v/>
      </c>
      <c r="K351" s="31" t="n"/>
      <c r="L351" s="31" t="n"/>
      <c r="M351" s="31" t="n"/>
    </row>
    <row r="352" ht="14.25" customHeight="1">
      <c r="B352" s="55" t="n"/>
      <c r="C352" s="25" t="n"/>
      <c r="D352" s="25" t="n"/>
      <c r="E352" s="26" t="n"/>
      <c r="F352" s="67" t="n"/>
      <c r="G352" s="2">
        <f>+IF(Tableau1[[#This Row],[Fournisseur]]="","",IFERROR(VLOOKUP(Tableau1[[#This Row],[Fournisseur]],SuiviFrs,2,FALSE),"Vérifier la syntaxe : Fournisseur introuvable au niveau du suivi des conventions"))</f>
        <v/>
      </c>
      <c r="H352" s="7">
        <f>++IF(Tableau1[[#This Row],[Fournisseur]]="","",C352+G352-1)</f>
        <v/>
      </c>
      <c r="I352" s="8">
        <f>++IF(Tableau1[[#This Row],[Fournisseur]]="","",IF(H352-Tableau1[[#This Row],[Date Paiement Effectif]]&gt;0," ",H352-Tableau1[[#This Row],[Date Paiement Effectif]]))</f>
        <v/>
      </c>
      <c r="J352" s="9">
        <f>++IF(Tableau1[[#This Row],[Fournisseur]]="","",IF(Tableau1[[#This Row],[Date Paiement Effectif]]="","Non encore payée",IF(I352&lt;0,"Attention, paiement hors délais","OK RAS")))</f>
        <v/>
      </c>
      <c r="K352" s="31" t="n"/>
      <c r="L352" s="31" t="n"/>
      <c r="M352" s="31" t="n"/>
    </row>
    <row r="353" ht="14.25" customHeight="1">
      <c r="B353" s="55" t="n"/>
      <c r="C353" s="25" t="n"/>
      <c r="D353" s="25" t="n"/>
      <c r="E353" s="26" t="n"/>
      <c r="F353" s="67" t="n"/>
      <c r="G353" s="2">
        <f>+IF(Tableau1[[#This Row],[Fournisseur]]="","",IFERROR(VLOOKUP(Tableau1[[#This Row],[Fournisseur]],SuiviFrs,2,FALSE),"Vérifier la syntaxe : Fournisseur introuvable au niveau du suivi des conventions"))</f>
        <v/>
      </c>
      <c r="H353" s="7">
        <f>++IF(Tableau1[[#This Row],[Fournisseur]]="","",C353+G353-1)</f>
        <v/>
      </c>
      <c r="I353" s="8">
        <f>++IF(Tableau1[[#This Row],[Fournisseur]]="","",IF(H353-Tableau1[[#This Row],[Date Paiement Effectif]]&gt;0," ",H353-Tableau1[[#This Row],[Date Paiement Effectif]]))</f>
        <v/>
      </c>
      <c r="J353" s="9">
        <f>++IF(Tableau1[[#This Row],[Fournisseur]]="","",IF(Tableau1[[#This Row],[Date Paiement Effectif]]="","Non encore payée",IF(I353&lt;0,"Attention, paiement hors délais","OK RAS")))</f>
        <v/>
      </c>
      <c r="K353" s="54" t="n">
        <v>46079</v>
      </c>
      <c r="L353" s="54" t="n"/>
      <c r="M353" s="31" t="n"/>
    </row>
    <row r="354" ht="14.25" customHeight="1">
      <c r="B354" s="55" t="n"/>
      <c r="C354" s="25" t="n"/>
      <c r="D354" s="25" t="n"/>
      <c r="E354" s="26" t="n"/>
      <c r="F354" s="67" t="n"/>
      <c r="G354" s="2">
        <f>+IF(Tableau1[[#This Row],[Fournisseur]]="","",IFERROR(VLOOKUP(Tableau1[[#This Row],[Fournisseur]],SuiviFrs,2,FALSE),"Vérifier la syntaxe : Fournisseur introuvable au niveau du suivi des conventions"))</f>
        <v/>
      </c>
      <c r="H354" s="7">
        <f>++IF(Tableau1[[#This Row],[Fournisseur]]="","",C354+G354-1)</f>
        <v/>
      </c>
      <c r="I354" s="8">
        <f>++IF(Tableau1[[#This Row],[Fournisseur]]="","",IF(H354-Tableau1[[#This Row],[Date Paiement Effectif]]&gt;0," ",H354-Tableau1[[#This Row],[Date Paiement Effectif]]))</f>
        <v/>
      </c>
      <c r="J354" s="9">
        <f>++IF(Tableau1[[#This Row],[Fournisseur]]="","",IF(Tableau1[[#This Row],[Date Paiement Effectif]]="","Non encore payée",IF(I354&lt;0,"Attention, paiement hors délais","OK RAS")))</f>
        <v/>
      </c>
      <c r="K354" s="54" t="n">
        <v>46069</v>
      </c>
      <c r="L354" s="54" t="n"/>
      <c r="M354" s="31" t="n"/>
    </row>
    <row r="355" ht="14.25" customHeight="1">
      <c r="B355" s="55" t="n"/>
      <c r="C355" s="25" t="n"/>
      <c r="D355" s="25" t="n"/>
      <c r="E355" s="26" t="n"/>
      <c r="F355" s="67" t="n"/>
      <c r="G355" s="2">
        <f>+IF(Tableau1[[#This Row],[Fournisseur]]="","",IFERROR(VLOOKUP(Tableau1[[#This Row],[Fournisseur]],SuiviFrs,2,FALSE),"Vérifier la syntaxe : Fournisseur introuvable au niveau du suivi des conventions"))</f>
        <v/>
      </c>
      <c r="H355" s="7">
        <f>++IF(Tableau1[[#This Row],[Fournisseur]]="","",C355+G355-1)</f>
        <v/>
      </c>
      <c r="I355" s="8">
        <f>++IF(Tableau1[[#This Row],[Fournisseur]]="","",IF(H355-Tableau1[[#This Row],[Date Paiement Effectif]]&gt;0," ",H355-Tableau1[[#This Row],[Date Paiement Effectif]]))</f>
        <v/>
      </c>
      <c r="J355" s="9">
        <f>++IF(Tableau1[[#This Row],[Fournisseur]]="","",IF(Tableau1[[#This Row],[Date Paiement Effectif]]="","Non encore payée",IF(I355&lt;0,"Attention, paiement hors délais","OK RAS")))</f>
        <v/>
      </c>
      <c r="K355" s="31" t="n"/>
      <c r="L355" s="31" t="n"/>
      <c r="M355" s="31" t="n"/>
    </row>
    <row r="356" ht="14.25" customHeight="1">
      <c r="B356" s="55" t="n"/>
      <c r="C356" s="25" t="n"/>
      <c r="D356" s="25" t="n"/>
      <c r="E356" s="26" t="n"/>
      <c r="F356" s="67" t="n"/>
      <c r="G356" s="2">
        <f>+IF(Tableau1[[#This Row],[Fournisseur]]="","",IFERROR(VLOOKUP(Tableau1[[#This Row],[Fournisseur]],SuiviFrs,2,FALSE),"Vérifier la syntaxe : Fournisseur introuvable au niveau du suivi des conventions"))</f>
        <v/>
      </c>
      <c r="H356" s="7">
        <f>++IF(Tableau1[[#This Row],[Fournisseur]]="","",C356+G356-1)</f>
        <v/>
      </c>
      <c r="I356" s="8">
        <f>++IF(Tableau1[[#This Row],[Fournisseur]]="","",IF(H356-Tableau1[[#This Row],[Date Paiement Effectif]]&gt;0," ",H356-Tableau1[[#This Row],[Date Paiement Effectif]]))</f>
        <v/>
      </c>
      <c r="J356" s="9">
        <f>++IF(Tableau1[[#This Row],[Fournisseur]]="","",IF(Tableau1[[#This Row],[Date Paiement Effectif]]="","Non encore payée",IF(I356&lt;0,"Attention, paiement hors délais","OK RAS")))</f>
        <v/>
      </c>
      <c r="K356" s="31" t="n"/>
      <c r="L356" s="31" t="n"/>
      <c r="M356" s="31" t="n"/>
    </row>
    <row r="357" ht="14.25" customHeight="1">
      <c r="B357" s="55" t="n"/>
      <c r="C357" s="25" t="n"/>
      <c r="D357" s="25" t="n"/>
      <c r="E357" s="26" t="n"/>
      <c r="F357" s="67" t="n"/>
      <c r="G357" s="2">
        <f>+IF(Tableau1[[#This Row],[Fournisseur]]="","",IFERROR(VLOOKUP(Tableau1[[#This Row],[Fournisseur]],SuiviFrs,2,FALSE),"Vérifier la syntaxe : Fournisseur introuvable au niveau du suivi des conventions"))</f>
        <v/>
      </c>
      <c r="H357" s="7">
        <f>++IF(Tableau1[[#This Row],[Fournisseur]]="","",C357+G357-1)</f>
        <v/>
      </c>
      <c r="I357" s="8">
        <f>++IF(Tableau1[[#This Row],[Fournisseur]]="","",IF(H357-Tableau1[[#This Row],[Date Paiement Effectif]]&gt;0," ",H357-Tableau1[[#This Row],[Date Paiement Effectif]]))</f>
        <v/>
      </c>
      <c r="J357" s="9">
        <f>++IF(Tableau1[[#This Row],[Fournisseur]]="","",IF(Tableau1[[#This Row],[Date Paiement Effectif]]="","Non encore payée",IF(I357&lt;0,"Attention, paiement hors délais","OK RAS")))</f>
        <v/>
      </c>
      <c r="K357" s="31" t="n"/>
      <c r="L357" s="31" t="n"/>
      <c r="M357" s="31" t="n"/>
    </row>
    <row r="358" ht="14.25" customHeight="1">
      <c r="B358" s="55" t="n"/>
      <c r="C358" s="25" t="n"/>
      <c r="D358" s="25" t="n"/>
      <c r="E358" s="26" t="n"/>
      <c r="F358" s="67" t="n"/>
      <c r="G358" s="2">
        <f>+IF(Tableau1[[#This Row],[Fournisseur]]="","",IFERROR(VLOOKUP(Tableau1[[#This Row],[Fournisseur]],SuiviFrs,2,FALSE),"Vérifier la syntaxe : Fournisseur introuvable au niveau du suivi des conventions"))</f>
        <v/>
      </c>
      <c r="H358" s="7">
        <f>++IF(Tableau1[[#This Row],[Fournisseur]]="","",C358+G358-1)</f>
        <v/>
      </c>
      <c r="I358" s="8">
        <f>++IF(Tableau1[[#This Row],[Fournisseur]]="","",IF(H358-Tableau1[[#This Row],[Date Paiement Effectif]]&gt;0," ",H358-Tableau1[[#This Row],[Date Paiement Effectif]]))</f>
        <v/>
      </c>
      <c r="J358" s="9">
        <f>++IF(Tableau1[[#This Row],[Fournisseur]]="","",IF(Tableau1[[#This Row],[Date Paiement Effectif]]="","Non encore payée",IF(I358&lt;0,"Attention, paiement hors délais","OK RAS")))</f>
        <v/>
      </c>
      <c r="K358" s="31" t="n"/>
      <c r="L358" s="31" t="n"/>
      <c r="M358" s="31" t="n"/>
    </row>
    <row r="359" ht="14.25" customHeight="1">
      <c r="B359" s="55" t="n"/>
      <c r="C359" s="25" t="n"/>
      <c r="D359" s="25" t="n"/>
      <c r="E359" s="26" t="n"/>
      <c r="F359" s="67" t="n"/>
      <c r="G359" s="2">
        <f>+IF(Tableau1[[#This Row],[Fournisseur]]="","",IFERROR(VLOOKUP(Tableau1[[#This Row],[Fournisseur]],SuiviFrs,2,FALSE),"Vérifier la syntaxe : Fournisseur introuvable au niveau du suivi des conventions"))</f>
        <v/>
      </c>
      <c r="H359" s="7">
        <f>++IF(Tableau1[[#This Row],[Fournisseur]]="","",C359+G359-1)</f>
        <v/>
      </c>
      <c r="I359" s="8">
        <f>++IF(Tableau1[[#This Row],[Fournisseur]]="","",IF(H359-Tableau1[[#This Row],[Date Paiement Effectif]]&gt;0," ",H359-Tableau1[[#This Row],[Date Paiement Effectif]]))</f>
        <v/>
      </c>
      <c r="J359" s="9">
        <f>++IF(Tableau1[[#This Row],[Fournisseur]]="","",IF(Tableau1[[#This Row],[Date Paiement Effectif]]="","Non encore payée",IF(I359&lt;0,"Attention, paiement hors délais","OK RAS")))</f>
        <v/>
      </c>
      <c r="K359" s="31" t="n"/>
      <c r="L359" s="31" t="n"/>
      <c r="M359" s="31" t="n"/>
    </row>
    <row r="360" ht="14.25" customHeight="1">
      <c r="B360" s="59" t="n"/>
      <c r="C360" s="25" t="n"/>
      <c r="D360" s="25" t="n"/>
      <c r="E360" s="26" t="n"/>
      <c r="F360" s="67" t="n"/>
      <c r="G360" s="2">
        <f>+IF(Tableau1[[#This Row],[Fournisseur]]="","",IFERROR(VLOOKUP(Tableau1[[#This Row],[Fournisseur]],SuiviFrs,2,FALSE),"Vérifier la syntaxe : Fournisseur introuvable au niveau du suivi des conventions"))</f>
        <v/>
      </c>
      <c r="H360" s="7">
        <f>++IF(Tableau1[[#This Row],[Fournisseur]]="","",C360+G360-1)</f>
        <v/>
      </c>
      <c r="I360" s="8">
        <f>++IF(Tableau1[[#This Row],[Fournisseur]]="","",IF(H360-Tableau1[[#This Row],[Date Paiement Effectif]]&gt;0," ",H360-Tableau1[[#This Row],[Date Paiement Effectif]]))</f>
        <v/>
      </c>
      <c r="J360" s="9">
        <f>++IF(Tableau1[[#This Row],[Fournisseur]]="","",IF(Tableau1[[#This Row],[Date Paiement Effectif]]="","Non encore payée",IF(I360&lt;0,"Attention, paiement hors délais","OK RAS")))</f>
        <v/>
      </c>
      <c r="K360" s="54" t="n">
        <v>46066</v>
      </c>
      <c r="L360" s="54" t="n"/>
      <c r="M360" s="31" t="n"/>
    </row>
    <row r="361" ht="14.25" customHeight="1">
      <c r="B361" s="55" t="n"/>
      <c r="C361" s="25" t="n"/>
      <c r="D361" s="25" t="n"/>
      <c r="E361" s="26" t="n"/>
      <c r="F361" s="67" t="n"/>
      <c r="G361" s="2">
        <f>+IF(Tableau1[[#This Row],[Fournisseur]]="","",IFERROR(VLOOKUP(Tableau1[[#This Row],[Fournisseur]],SuiviFrs,2,FALSE),"Vérifier la syntaxe : Fournisseur introuvable au niveau du suivi des conventions"))</f>
        <v/>
      </c>
      <c r="H361" s="7">
        <f>++IF(Tableau1[[#This Row],[Fournisseur]]="","",C361+G361-1)</f>
        <v/>
      </c>
      <c r="I361" s="8">
        <f>++IF(Tableau1[[#This Row],[Fournisseur]]="","",IF(H361-Tableau1[[#This Row],[Date Paiement Effectif]]&gt;0," ",H361-Tableau1[[#This Row],[Date Paiement Effectif]]))</f>
        <v/>
      </c>
      <c r="J361" s="9">
        <f>++IF(Tableau1[[#This Row],[Fournisseur]]="","",IF(Tableau1[[#This Row],[Date Paiement Effectif]]="","Non encore payée",IF(I361&lt;0,"Attention, paiement hors délais","OK RAS")))</f>
        <v/>
      </c>
      <c r="K361" s="31" t="n"/>
      <c r="L361" s="31" t="n"/>
      <c r="M361" s="31" t="n"/>
    </row>
    <row r="362" ht="14.25" customHeight="1">
      <c r="B362" s="55" t="n"/>
      <c r="C362" s="25" t="n"/>
      <c r="D362" s="25" t="n"/>
      <c r="E362" s="26" t="n"/>
      <c r="F362" s="67" t="n"/>
      <c r="G362" s="2">
        <f>+IF(Tableau1[[#This Row],[Fournisseur]]="","",IFERROR(VLOOKUP(Tableau1[[#This Row],[Fournisseur]],SuiviFrs,2,FALSE),"Vérifier la syntaxe : Fournisseur introuvable au niveau du suivi des conventions"))</f>
        <v/>
      </c>
      <c r="H362" s="7">
        <f>++IF(Tableau1[[#This Row],[Fournisseur]]="","",C362+G362-1)</f>
        <v/>
      </c>
      <c r="I362" s="8">
        <f>++IF(Tableau1[[#This Row],[Fournisseur]]="","",IF(H362-Tableau1[[#This Row],[Date Paiement Effectif]]&gt;0," ",H362-Tableau1[[#This Row],[Date Paiement Effectif]]))</f>
        <v/>
      </c>
      <c r="J362" s="9">
        <f>++IF(Tableau1[[#This Row],[Fournisseur]]="","",IF(Tableau1[[#This Row],[Date Paiement Effectif]]="","Non encore payée",IF(I362&lt;0,"Attention, paiement hors délais","OK RAS")))</f>
        <v/>
      </c>
      <c r="K362" s="54" t="n">
        <v>46077</v>
      </c>
      <c r="L362" s="54" t="n"/>
      <c r="M362" s="31" t="n"/>
    </row>
    <row r="363" ht="14.25" customHeight="1">
      <c r="B363" s="55" t="n"/>
      <c r="C363" s="25" t="n"/>
      <c r="D363" s="25" t="n"/>
      <c r="E363" s="26" t="n"/>
      <c r="F363" s="67" t="n"/>
      <c r="G363" s="2">
        <f>+IF(Tableau1[[#This Row],[Fournisseur]]="","",IFERROR(VLOOKUP(Tableau1[[#This Row],[Fournisseur]],SuiviFrs,2,FALSE),"Vérifier la syntaxe : Fournisseur introuvable au niveau du suivi des conventions"))</f>
        <v/>
      </c>
      <c r="H363" s="7">
        <f>++IF(Tableau1[[#This Row],[Fournisseur]]="","",C363+G363-1)</f>
        <v/>
      </c>
      <c r="I363" s="8">
        <f>++IF(Tableau1[[#This Row],[Fournisseur]]="","",IF(H363-Tableau1[[#This Row],[Date Paiement Effectif]]&gt;0," ",H363-Tableau1[[#This Row],[Date Paiement Effectif]]))</f>
        <v/>
      </c>
      <c r="J363" s="9">
        <f>++IF(Tableau1[[#This Row],[Fournisseur]]="","",IF(Tableau1[[#This Row],[Date Paiement Effectif]]="","Non encore payée",IF(I363&lt;0,"Attention, paiement hors délais","OK RAS")))</f>
        <v/>
      </c>
      <c r="K363" s="54" t="n">
        <v>46056</v>
      </c>
      <c r="L363" s="54" t="n"/>
      <c r="M363" s="31" t="n"/>
    </row>
    <row r="364" ht="14.25" customHeight="1">
      <c r="B364" s="55" t="n"/>
      <c r="C364" s="25" t="n"/>
      <c r="D364" s="25" t="n"/>
      <c r="E364" s="26" t="n"/>
      <c r="F364" s="67" t="n"/>
      <c r="G364" s="2">
        <f>+IF(Tableau1[[#This Row],[Fournisseur]]="","",IFERROR(VLOOKUP(Tableau1[[#This Row],[Fournisseur]],SuiviFrs,2,FALSE),"Vérifier la syntaxe : Fournisseur introuvable au niveau du suivi des conventions"))</f>
        <v/>
      </c>
      <c r="H364" s="7">
        <f>++IF(Tableau1[[#This Row],[Fournisseur]]="","",C364+G364-1)</f>
        <v/>
      </c>
      <c r="I364" s="8">
        <f>++IF(Tableau1[[#This Row],[Fournisseur]]="","",IF(H364-Tableau1[[#This Row],[Date Paiement Effectif]]&gt;0," ",H364-Tableau1[[#This Row],[Date Paiement Effectif]]))</f>
        <v/>
      </c>
      <c r="J364" s="9">
        <f>++IF(Tableau1[[#This Row],[Fournisseur]]="","",IF(Tableau1[[#This Row],[Date Paiement Effectif]]="","Non encore payée",IF(I364&lt;0,"Attention, paiement hors délais","OK RAS")))</f>
        <v/>
      </c>
      <c r="K364" s="31" t="n"/>
      <c r="L364" s="31" t="n"/>
      <c r="M364" s="31" t="n"/>
    </row>
    <row r="365" ht="14.25" customHeight="1">
      <c r="B365" s="55" t="n"/>
      <c r="C365" s="25" t="n"/>
      <c r="D365" s="25" t="n"/>
      <c r="E365" s="26" t="n"/>
      <c r="F365" s="67" t="n"/>
      <c r="G365" s="2">
        <f>+IF(Tableau1[[#This Row],[Fournisseur]]="","",IFERROR(VLOOKUP(Tableau1[[#This Row],[Fournisseur]],SuiviFrs,2,FALSE),"Vérifier la syntaxe : Fournisseur introuvable au niveau du suivi des conventions"))</f>
        <v/>
      </c>
      <c r="H365" s="7">
        <f>++IF(Tableau1[[#This Row],[Fournisseur]]="","",C365+G365-1)</f>
        <v/>
      </c>
      <c r="I365" s="8">
        <f>++IF(Tableau1[[#This Row],[Fournisseur]]="","",IF(H365-Tableau1[[#This Row],[Date Paiement Effectif]]&gt;0," ",H365-Tableau1[[#This Row],[Date Paiement Effectif]]))</f>
        <v/>
      </c>
      <c r="J365" s="9">
        <f>++IF(Tableau1[[#This Row],[Fournisseur]]="","",IF(Tableau1[[#This Row],[Date Paiement Effectif]]="","Non encore payée",IF(I365&lt;0,"Attention, paiement hors délais","OK RAS")))</f>
        <v/>
      </c>
      <c r="K365" s="31" t="n"/>
      <c r="L365" s="31" t="n"/>
      <c r="M365" s="31" t="n"/>
    </row>
    <row r="366" ht="14.25" customHeight="1">
      <c r="B366" s="55" t="n"/>
      <c r="C366" s="25" t="n"/>
      <c r="D366" s="25" t="n"/>
      <c r="E366" s="26" t="n"/>
      <c r="F366" s="67" t="n"/>
      <c r="G366" s="2">
        <f>+IF(Tableau1[[#This Row],[Fournisseur]]="","",IFERROR(VLOOKUP(Tableau1[[#This Row],[Fournisseur]],SuiviFrs,2,FALSE),"Vérifier la syntaxe : Fournisseur introuvable au niveau du suivi des conventions"))</f>
        <v/>
      </c>
      <c r="H366" s="7">
        <f>++IF(Tableau1[[#This Row],[Fournisseur]]="","",C366+G366-1)</f>
        <v/>
      </c>
      <c r="I366" s="8">
        <f>++IF(Tableau1[[#This Row],[Fournisseur]]="","",IF(H366-Tableau1[[#This Row],[Date Paiement Effectif]]&gt;0," ",H366-Tableau1[[#This Row],[Date Paiement Effectif]]))</f>
        <v/>
      </c>
      <c r="J366" s="9">
        <f>++IF(Tableau1[[#This Row],[Fournisseur]]="","",IF(Tableau1[[#This Row],[Date Paiement Effectif]]="","Non encore payée",IF(I366&lt;0,"Attention, paiement hors délais","OK RAS")))</f>
        <v/>
      </c>
      <c r="K366" s="31" t="n"/>
      <c r="L366" s="31" t="n"/>
      <c r="M366" s="31" t="n"/>
    </row>
    <row r="367" ht="14.25" customHeight="1">
      <c r="B367" s="55" t="n"/>
      <c r="C367" s="25" t="n"/>
      <c r="D367" s="25" t="n"/>
      <c r="E367" s="26" t="n"/>
      <c r="F367" s="67" t="n"/>
      <c r="G367" s="2">
        <f>+IF(Tableau1[[#This Row],[Fournisseur]]="","",IFERROR(VLOOKUP(Tableau1[[#This Row],[Fournisseur]],SuiviFrs,2,FALSE),"Vérifier la syntaxe : Fournisseur introuvable au niveau du suivi des conventions"))</f>
        <v/>
      </c>
      <c r="H367" s="7">
        <f>++IF(Tableau1[[#This Row],[Fournisseur]]="","",C367+G367-1)</f>
        <v/>
      </c>
      <c r="I367" s="8">
        <f>++IF(Tableau1[[#This Row],[Fournisseur]]="","",IF(H367-Tableau1[[#This Row],[Date Paiement Effectif]]&gt;0," ",H367-Tableau1[[#This Row],[Date Paiement Effectif]]))</f>
        <v/>
      </c>
      <c r="J367" s="9">
        <f>++IF(Tableau1[[#This Row],[Fournisseur]]="","",IF(Tableau1[[#This Row],[Date Paiement Effectif]]="","Non encore payée",IF(I367&lt;0,"Attention, paiement hors délais","OK RAS")))</f>
        <v/>
      </c>
      <c r="K367" s="31" t="n"/>
      <c r="L367" s="31" t="n"/>
      <c r="M367" s="31" t="n"/>
    </row>
    <row r="368" ht="14.25" customHeight="1">
      <c r="B368" s="55" t="n"/>
      <c r="C368" s="25" t="n"/>
      <c r="D368" s="25" t="n"/>
      <c r="E368" s="26" t="n"/>
      <c r="F368" s="67" t="n"/>
      <c r="G368" s="2">
        <f>+IF(Tableau1[[#This Row],[Fournisseur]]="","",IFERROR(VLOOKUP(Tableau1[[#This Row],[Fournisseur]],SuiviFrs,2,FALSE),"Vérifier la syntaxe : Fournisseur introuvable au niveau du suivi des conventions"))</f>
        <v/>
      </c>
      <c r="H368" s="7">
        <f>++IF(Tableau1[[#This Row],[Fournisseur]]="","",C368+G368-1)</f>
        <v/>
      </c>
      <c r="I368" s="8">
        <f>++IF(Tableau1[[#This Row],[Fournisseur]]="","",IF(H368-Tableau1[[#This Row],[Date Paiement Effectif]]&gt;0," ",H368-Tableau1[[#This Row],[Date Paiement Effectif]]))</f>
        <v/>
      </c>
      <c r="J368" s="9">
        <f>++IF(Tableau1[[#This Row],[Fournisseur]]="","",IF(Tableau1[[#This Row],[Date Paiement Effectif]]="","Non encore payée",IF(I368&lt;0,"Attention, paiement hors délais","OK RAS")))</f>
        <v/>
      </c>
      <c r="K368" s="31" t="n"/>
      <c r="L368" s="31" t="n"/>
      <c r="M368" s="31" t="n"/>
    </row>
    <row r="369" ht="14.25" customHeight="1">
      <c r="B369" s="55" t="n"/>
      <c r="C369" s="25" t="n"/>
      <c r="D369" s="25" t="n"/>
      <c r="E369" s="26" t="n"/>
      <c r="F369" s="67" t="n"/>
      <c r="G369" s="2">
        <f>+IF(Tableau1[[#This Row],[Fournisseur]]="","",IFERROR(VLOOKUP(Tableau1[[#This Row],[Fournisseur]],SuiviFrs,2,FALSE),"Vérifier la syntaxe : Fournisseur introuvable au niveau du suivi des conventions"))</f>
        <v/>
      </c>
      <c r="H369" s="7">
        <f>++IF(Tableau1[[#This Row],[Fournisseur]]="","",C369+G369-1)</f>
        <v/>
      </c>
      <c r="I369" s="8">
        <f>++IF(Tableau1[[#This Row],[Fournisseur]]="","",IF(H369-Tableau1[[#This Row],[Date Paiement Effectif]]&gt;0," ",H369-Tableau1[[#This Row],[Date Paiement Effectif]]))</f>
        <v/>
      </c>
      <c r="J369" s="9">
        <f>++IF(Tableau1[[#This Row],[Fournisseur]]="","",IF(Tableau1[[#This Row],[Date Paiement Effectif]]="","Non encore payée",IF(I369&lt;0,"Attention, paiement hors délais","OK RAS")))</f>
        <v/>
      </c>
      <c r="K369" s="31" t="n"/>
      <c r="L369" s="31" t="n"/>
      <c r="M369" s="31" t="n"/>
    </row>
    <row r="370" ht="14.25" customHeight="1">
      <c r="B370" s="55" t="n"/>
      <c r="C370" s="25" t="n"/>
      <c r="D370" s="25" t="n"/>
      <c r="E370" s="26" t="n"/>
      <c r="F370" s="67" t="n"/>
      <c r="G370" s="2">
        <f>+IF(Tableau1[[#This Row],[Fournisseur]]="","",IFERROR(VLOOKUP(Tableau1[[#This Row],[Fournisseur]],SuiviFrs,2,FALSE),"Vérifier la syntaxe : Fournisseur introuvable au niveau du suivi des conventions"))</f>
        <v/>
      </c>
      <c r="H370" s="7">
        <f>++IF(Tableau1[[#This Row],[Fournisseur]]="","",C370+G370-1)</f>
        <v/>
      </c>
      <c r="I370" s="8">
        <f>++IF(Tableau1[[#This Row],[Fournisseur]]="","",IF(H370-Tableau1[[#This Row],[Date Paiement Effectif]]&gt;0," ",H370-Tableau1[[#This Row],[Date Paiement Effectif]]))</f>
        <v/>
      </c>
      <c r="J370" s="9">
        <f>++IF(Tableau1[[#This Row],[Fournisseur]]="","",IF(Tableau1[[#This Row],[Date Paiement Effectif]]="","Non encore payée",IF(I370&lt;0,"Attention, paiement hors délais","OK RAS")))</f>
        <v/>
      </c>
      <c r="K370" s="31" t="n"/>
      <c r="L370" s="31" t="n"/>
      <c r="M370" s="31" t="n"/>
    </row>
    <row r="371" ht="14.25" customHeight="1">
      <c r="B371" s="55" t="n"/>
      <c r="C371" s="25" t="n"/>
      <c r="D371" s="25" t="n"/>
      <c r="E371" s="26" t="n"/>
      <c r="F371" s="67" t="n"/>
      <c r="G371" s="2">
        <f>+IF(Tableau1[[#This Row],[Fournisseur]]="","",IFERROR(VLOOKUP(Tableau1[[#This Row],[Fournisseur]],SuiviFrs,2,FALSE),"Vérifier la syntaxe : Fournisseur introuvable au niveau du suivi des conventions"))</f>
        <v/>
      </c>
      <c r="H371" s="7">
        <f>++IF(Tableau1[[#This Row],[Fournisseur]]="","",C371+G371-1)</f>
        <v/>
      </c>
      <c r="I371" s="8">
        <f>++IF(Tableau1[[#This Row],[Fournisseur]]="","",IF(H371-Tableau1[[#This Row],[Date Paiement Effectif]]&gt;0," ",H371-Tableau1[[#This Row],[Date Paiement Effectif]]))</f>
        <v/>
      </c>
      <c r="J371" s="9">
        <f>++IF(Tableau1[[#This Row],[Fournisseur]]="","",IF(Tableau1[[#This Row],[Date Paiement Effectif]]="","Non encore payée",IF(I371&lt;0,"Attention, paiement hors délais","OK RAS")))</f>
        <v/>
      </c>
      <c r="K371" s="54" t="n">
        <v>46077</v>
      </c>
      <c r="L371" s="54" t="n"/>
      <c r="M371" s="31" t="n"/>
    </row>
    <row r="372" ht="14.25" customHeight="1">
      <c r="B372" s="55" t="n"/>
      <c r="C372" s="25" t="n"/>
      <c r="D372" s="25" t="n"/>
      <c r="E372" s="26" t="n"/>
      <c r="F372" s="67" t="n"/>
      <c r="G372" s="2">
        <f>+IF(Tableau1[[#This Row],[Fournisseur]]="","",IFERROR(VLOOKUP(Tableau1[[#This Row],[Fournisseur]],SuiviFrs,2,FALSE),"Vérifier la syntaxe : Fournisseur introuvable au niveau du suivi des conventions"))</f>
        <v/>
      </c>
      <c r="H372" s="7">
        <f>++IF(Tableau1[[#This Row],[Fournisseur]]="","",C372+G372-1)</f>
        <v/>
      </c>
      <c r="I372" s="8">
        <f>++IF(Tableau1[[#This Row],[Fournisseur]]="","",IF(H372-Tableau1[[#This Row],[Date Paiement Effectif]]&gt;0," ",H372-Tableau1[[#This Row],[Date Paiement Effectif]]))</f>
        <v/>
      </c>
      <c r="J372" s="9">
        <f>++IF(Tableau1[[#This Row],[Fournisseur]]="","",IF(Tableau1[[#This Row],[Date Paiement Effectif]]="","Non encore payée",IF(I372&lt;0,"Attention, paiement hors délais","OK RAS")))</f>
        <v/>
      </c>
      <c r="K372" s="54" t="n">
        <v>46083</v>
      </c>
      <c r="L372" s="54" t="n"/>
      <c r="M372" s="31" t="n"/>
    </row>
    <row r="373" ht="14.25" customHeight="1">
      <c r="B373" s="55" t="n"/>
      <c r="C373" s="25" t="n"/>
      <c r="D373" s="25" t="n"/>
      <c r="E373" s="26" t="n"/>
      <c r="F373" s="67" t="n"/>
      <c r="G373" s="2">
        <f>+IF(Tableau1[[#This Row],[Fournisseur]]="","",IFERROR(VLOOKUP(Tableau1[[#This Row],[Fournisseur]],SuiviFrs,2,FALSE),"Vérifier la syntaxe : Fournisseur introuvable au niveau du suivi des conventions"))</f>
        <v/>
      </c>
      <c r="H373" s="7">
        <f>++IF(Tableau1[[#This Row],[Fournisseur]]="","",C373+G373-1)</f>
        <v/>
      </c>
      <c r="I373" s="8">
        <f>++IF(Tableau1[[#This Row],[Fournisseur]]="","",IF(H373-Tableau1[[#This Row],[Date Paiement Effectif]]&gt;0," ",H373-Tableau1[[#This Row],[Date Paiement Effectif]]))</f>
        <v/>
      </c>
      <c r="J373" s="9">
        <f>++IF(Tableau1[[#This Row],[Fournisseur]]="","",IF(Tableau1[[#This Row],[Date Paiement Effectif]]="","Non encore payée",IF(I373&lt;0,"Attention, paiement hors délais","OK RAS")))</f>
        <v/>
      </c>
      <c r="K373" s="54" t="n">
        <v>46083</v>
      </c>
      <c r="L373" s="54" t="n"/>
      <c r="M373" s="31" t="n"/>
    </row>
    <row r="374" ht="14.25" customHeight="1">
      <c r="B374" s="55" t="n"/>
      <c r="C374" s="25" t="n"/>
      <c r="D374" s="25" t="n"/>
      <c r="E374" s="26" t="n"/>
      <c r="F374" s="67" t="n"/>
      <c r="G374" s="2">
        <f>+IF(Tableau1[[#This Row],[Fournisseur]]="","",IFERROR(VLOOKUP(Tableau1[[#This Row],[Fournisseur]],SuiviFrs,2,FALSE),"Vérifier la syntaxe : Fournisseur introuvable au niveau du suivi des conventions"))</f>
        <v/>
      </c>
      <c r="H374" s="7">
        <f>++IF(Tableau1[[#This Row],[Fournisseur]]="","",C374+G374-1)</f>
        <v/>
      </c>
      <c r="I374" s="8">
        <f>++IF(Tableau1[[#This Row],[Fournisseur]]="","",IF(H374-Tableau1[[#This Row],[Date Paiement Effectif]]&gt;0," ",H374-Tableau1[[#This Row],[Date Paiement Effectif]]))</f>
        <v/>
      </c>
      <c r="J374" s="9">
        <f>++IF(Tableau1[[#This Row],[Fournisseur]]="","",IF(Tableau1[[#This Row],[Date Paiement Effectif]]="","Non encore payée",IF(I374&lt;0,"Attention, paiement hors délais","OK RAS")))</f>
        <v/>
      </c>
      <c r="K374" s="54" t="n">
        <v>46045</v>
      </c>
      <c r="L374" s="54" t="n"/>
      <c r="M374" s="31" t="n"/>
    </row>
    <row r="375" ht="14.25" customHeight="1">
      <c r="B375" s="55" t="n"/>
      <c r="C375" s="25" t="n"/>
      <c r="D375" s="25" t="n"/>
      <c r="E375" s="26" t="n"/>
      <c r="F375" s="67" t="n"/>
      <c r="G375" s="2">
        <f>+IF(Tableau1[[#This Row],[Fournisseur]]="","",IFERROR(VLOOKUP(Tableau1[[#This Row],[Fournisseur]],SuiviFrs,2,FALSE),"Vérifier la syntaxe : Fournisseur introuvable au niveau du suivi des conventions"))</f>
        <v/>
      </c>
      <c r="H375" s="7">
        <f>++IF(Tableau1[[#This Row],[Fournisseur]]="","",C375+G375-1)</f>
        <v/>
      </c>
      <c r="I375" s="8">
        <f>++IF(Tableau1[[#This Row],[Fournisseur]]="","",IF(H375-Tableau1[[#This Row],[Date Paiement Effectif]]&gt;0," ",H375-Tableau1[[#This Row],[Date Paiement Effectif]]))</f>
        <v/>
      </c>
      <c r="J375" s="9">
        <f>++IF(Tableau1[[#This Row],[Fournisseur]]="","",IF(Tableau1[[#This Row],[Date Paiement Effectif]]="","Non encore payée",IF(I375&lt;0,"Attention, paiement hors délais","OK RAS")))</f>
        <v/>
      </c>
      <c r="K375" s="54" t="n">
        <v>46053</v>
      </c>
      <c r="L375" s="54" t="n"/>
      <c r="M375" s="31" t="n"/>
    </row>
    <row r="376" ht="14.25" customHeight="1">
      <c r="B376" s="55" t="n"/>
      <c r="C376" s="25" t="n"/>
      <c r="D376" s="25" t="n"/>
      <c r="E376" s="26" t="n"/>
      <c r="F376" s="67" t="n"/>
      <c r="G376" s="2">
        <f>+IF(Tableau1[[#This Row],[Fournisseur]]="","",IFERROR(VLOOKUP(Tableau1[[#This Row],[Fournisseur]],SuiviFrs,2,FALSE),"Vérifier la syntaxe : Fournisseur introuvable au niveau du suivi des conventions"))</f>
        <v/>
      </c>
      <c r="H376" s="7">
        <f>++IF(Tableau1[[#This Row],[Fournisseur]]="","",C376+G376-1)</f>
        <v/>
      </c>
      <c r="I376" s="8">
        <f>++IF(Tableau1[[#This Row],[Fournisseur]]="","",IF(H376-Tableau1[[#This Row],[Date Paiement Effectif]]&gt;0," ",H376-Tableau1[[#This Row],[Date Paiement Effectif]]))</f>
        <v/>
      </c>
      <c r="J376" s="9">
        <f>++IF(Tableau1[[#This Row],[Fournisseur]]="","",IF(Tableau1[[#This Row],[Date Paiement Effectif]]="","Non encore payée",IF(I376&lt;0,"Attention, paiement hors délais","OK RAS")))</f>
        <v/>
      </c>
      <c r="K376" s="54" t="n">
        <v>46025</v>
      </c>
      <c r="L376" s="54" t="n"/>
      <c r="M376" s="31" t="n"/>
    </row>
    <row r="377" ht="14.25" customHeight="1">
      <c r="B377" s="55" t="n"/>
      <c r="C377" s="25" t="n"/>
      <c r="D377" s="25" t="n"/>
      <c r="E377" s="26" t="n"/>
      <c r="F377" s="67" t="n"/>
      <c r="G377" s="2">
        <f>+IF(Tableau1[[#This Row],[Fournisseur]]="","",IFERROR(VLOOKUP(Tableau1[[#This Row],[Fournisseur]],SuiviFrs,2,FALSE),"Vérifier la syntaxe : Fournisseur introuvable au niveau du suivi des conventions"))</f>
        <v/>
      </c>
      <c r="H377" s="7">
        <f>++IF(Tableau1[[#This Row],[Fournisseur]]="","",C377+G377-1)</f>
        <v/>
      </c>
      <c r="I377" s="8">
        <f>++IF(Tableau1[[#This Row],[Fournisseur]]="","",IF(H377-Tableau1[[#This Row],[Date Paiement Effectif]]&gt;0," ",H377-Tableau1[[#This Row],[Date Paiement Effectif]]))</f>
        <v/>
      </c>
      <c r="J377" s="9">
        <f>++IF(Tableau1[[#This Row],[Fournisseur]]="","",IF(Tableau1[[#This Row],[Date Paiement Effectif]]="","Non encore payée",IF(I377&lt;0,"Attention, paiement hors délais","OK RAS")))</f>
        <v/>
      </c>
      <c r="K377" s="31" t="n"/>
      <c r="L377" s="31" t="n"/>
      <c r="M377" s="31" t="n"/>
    </row>
    <row r="378" ht="14.25" customHeight="1">
      <c r="B378" s="61" t="n"/>
      <c r="C378" s="25" t="n"/>
      <c r="D378" s="25" t="n"/>
      <c r="E378" s="26" t="n"/>
      <c r="F378" s="67" t="n"/>
      <c r="G378" s="2">
        <f>+IF(Tableau1[[#This Row],[Fournisseur]]="","",IFERROR(VLOOKUP(Tableau1[[#This Row],[Fournisseur]],SuiviFrs,2,FALSE),"Vérifier la syntaxe : Fournisseur introuvable au niveau du suivi des conventions"))</f>
        <v/>
      </c>
      <c r="H378" s="7">
        <f>++IF(Tableau1[[#This Row],[Fournisseur]]="","",C378+G378-1)</f>
        <v/>
      </c>
      <c r="I378" s="8">
        <f>++IF(Tableau1[[#This Row],[Fournisseur]]="","",IF(H378-Tableau1[[#This Row],[Date Paiement Effectif]]&gt;0," ",H378-Tableau1[[#This Row],[Date Paiement Effectif]]))</f>
        <v/>
      </c>
      <c r="J378" s="9">
        <f>++IF(Tableau1[[#This Row],[Fournisseur]]="","",IF(Tableau1[[#This Row],[Date Paiement Effectif]]="","Non encore payée",IF(I378&lt;0,"Attention, paiement hors délais","OK RAS")))</f>
        <v/>
      </c>
      <c r="K378" s="31" t="n"/>
      <c r="L378" s="31" t="n"/>
      <c r="M378" s="31" t="n"/>
    </row>
    <row r="379" ht="14.25" customHeight="1">
      <c r="B379" s="61" t="n"/>
      <c r="C379" s="25" t="n"/>
      <c r="D379" s="25" t="n"/>
      <c r="E379" s="26" t="n"/>
      <c r="F379" s="67" t="n"/>
      <c r="G379" s="2">
        <f>+IF(Tableau1[[#This Row],[Fournisseur]]="","",IFERROR(VLOOKUP(Tableau1[[#This Row],[Fournisseur]],SuiviFrs,2,FALSE),"Vérifier la syntaxe : Fournisseur introuvable au niveau du suivi des conventions"))</f>
        <v/>
      </c>
      <c r="H379" s="7">
        <f>++IF(Tableau1[[#This Row],[Fournisseur]]="","",C379+G379-1)</f>
        <v/>
      </c>
      <c r="I379" s="8">
        <f>++IF(Tableau1[[#This Row],[Fournisseur]]="","",IF(H379-Tableau1[[#This Row],[Date Paiement Effectif]]&gt;0," ",H379-Tableau1[[#This Row],[Date Paiement Effectif]]))</f>
        <v/>
      </c>
      <c r="J379" s="9">
        <f>++IF(Tableau1[[#This Row],[Fournisseur]]="","",IF(Tableau1[[#This Row],[Date Paiement Effectif]]="","Non encore payée",IF(I379&lt;0,"Attention, paiement hors délais","OK RAS")))</f>
        <v/>
      </c>
      <c r="K379" s="31" t="n"/>
      <c r="L379" s="31" t="n"/>
      <c r="M379" s="31" t="n"/>
    </row>
    <row r="380" ht="14.25" customHeight="1">
      <c r="B380" s="55" t="n"/>
      <c r="C380" s="25" t="n"/>
      <c r="D380" s="25" t="n"/>
      <c r="E380" s="26" t="n"/>
      <c r="F380" s="67" t="n"/>
      <c r="G380" s="2">
        <f>+IF(Tableau1[[#This Row],[Fournisseur]]="","",IFERROR(VLOOKUP(Tableau1[[#This Row],[Fournisseur]],SuiviFrs,2,FALSE),"Vérifier la syntaxe : Fournisseur introuvable au niveau du suivi des conventions"))</f>
        <v/>
      </c>
      <c r="H380" s="7">
        <f>++IF(Tableau1[[#This Row],[Fournisseur]]="","",C380+G380-1)</f>
        <v/>
      </c>
      <c r="I380" s="8">
        <f>++IF(Tableau1[[#This Row],[Fournisseur]]="","",IF(H380-Tableau1[[#This Row],[Date Paiement Effectif]]&gt;0," ",H380-Tableau1[[#This Row],[Date Paiement Effectif]]))</f>
        <v/>
      </c>
      <c r="J380" s="9">
        <f>++IF(Tableau1[[#This Row],[Fournisseur]]="","",IF(Tableau1[[#This Row],[Date Paiement Effectif]]="","Non encore payée",IF(I380&lt;0,"Attention, paiement hors délais","OK RAS")))</f>
        <v/>
      </c>
      <c r="K380" s="31" t="n"/>
      <c r="L380" s="31" t="n"/>
      <c r="M380" s="31" t="n"/>
    </row>
    <row r="381" ht="14.25" customHeight="1">
      <c r="B381" s="55" t="n"/>
      <c r="C381" s="25" t="n"/>
      <c r="D381" s="25" t="n"/>
      <c r="E381" s="26" t="n"/>
      <c r="F381" s="67" t="n"/>
      <c r="G381" s="2">
        <f>+IF(Tableau1[[#This Row],[Fournisseur]]="","",IFERROR(VLOOKUP(Tableau1[[#This Row],[Fournisseur]],SuiviFrs,2,FALSE),"Vérifier la syntaxe : Fournisseur introuvable au niveau du suivi des conventions"))</f>
        <v/>
      </c>
      <c r="H381" s="7">
        <f>++IF(Tableau1[[#This Row],[Fournisseur]]="","",C381+G381-1)</f>
        <v/>
      </c>
      <c r="I381" s="8">
        <f>++IF(Tableau1[[#This Row],[Fournisseur]]="","",IF(H381-Tableau1[[#This Row],[Date Paiement Effectif]]&gt;0," ",H381-Tableau1[[#This Row],[Date Paiement Effectif]]))</f>
        <v/>
      </c>
      <c r="J381" s="9">
        <f>++IF(Tableau1[[#This Row],[Fournisseur]]="","",IF(Tableau1[[#This Row],[Date Paiement Effectif]]="","Non encore payée",IF(I381&lt;0,"Attention, paiement hors délais","OK RAS")))</f>
        <v/>
      </c>
      <c r="K381" s="31" t="n"/>
      <c r="L381" s="31" t="n"/>
      <c r="M381" s="31" t="n"/>
    </row>
    <row r="382" ht="14.25" customHeight="1">
      <c r="B382" s="55" t="n"/>
      <c r="C382" s="25" t="n"/>
      <c r="D382" s="25" t="n"/>
      <c r="E382" s="26" t="n"/>
      <c r="F382" s="67" t="n"/>
      <c r="G382" s="2">
        <f>+IF(Tableau1[[#This Row],[Fournisseur]]="","",IFERROR(VLOOKUP(Tableau1[[#This Row],[Fournisseur]],SuiviFrs,2,FALSE),"Vérifier la syntaxe : Fournisseur introuvable au niveau du suivi des conventions"))</f>
        <v/>
      </c>
      <c r="H382" s="7">
        <f>++IF(Tableau1[[#This Row],[Fournisseur]]="","",C382+G382-1)</f>
        <v/>
      </c>
      <c r="I382" s="8">
        <f>++IF(Tableau1[[#This Row],[Fournisseur]]="","",IF(H382-Tableau1[[#This Row],[Date Paiement Effectif]]&gt;0," ",H382-Tableau1[[#This Row],[Date Paiement Effectif]]))</f>
        <v/>
      </c>
      <c r="J382" s="9">
        <f>++IF(Tableau1[[#This Row],[Fournisseur]]="","",IF(Tableau1[[#This Row],[Date Paiement Effectif]]="","Non encore payée",IF(I382&lt;0,"Attention, paiement hors délais","OK RAS")))</f>
        <v/>
      </c>
      <c r="K382" s="31" t="n"/>
      <c r="L382" s="31" t="n"/>
      <c r="M382" s="31" t="n"/>
    </row>
    <row r="383" ht="14.25" customHeight="1">
      <c r="B383" s="55" t="n"/>
      <c r="C383" s="25" t="n"/>
      <c r="D383" s="25" t="n"/>
      <c r="E383" s="26" t="n"/>
      <c r="F383" s="67" t="n"/>
      <c r="G383" s="2">
        <f>+IF(Tableau1[[#This Row],[Fournisseur]]="","",IFERROR(VLOOKUP(Tableau1[[#This Row],[Fournisseur]],SuiviFrs,2,FALSE),"Vérifier la syntaxe : Fournisseur introuvable au niveau du suivi des conventions"))</f>
        <v/>
      </c>
      <c r="H383" s="7">
        <f>++IF(Tableau1[[#This Row],[Fournisseur]]="","",C383+G383-1)</f>
        <v/>
      </c>
      <c r="I383" s="8">
        <f>++IF(Tableau1[[#This Row],[Fournisseur]]="","",IF(H383-Tableau1[[#This Row],[Date Paiement Effectif]]&gt;0," ",H383-Tableau1[[#This Row],[Date Paiement Effectif]]))</f>
        <v/>
      </c>
      <c r="J383" s="9">
        <f>++IF(Tableau1[[#This Row],[Fournisseur]]="","",IF(Tableau1[[#This Row],[Date Paiement Effectif]]="","Non encore payée",IF(I383&lt;0,"Attention, paiement hors délais","OK RAS")))</f>
        <v/>
      </c>
      <c r="K383" s="31" t="n"/>
      <c r="L383" s="31" t="n"/>
      <c r="M383" s="31" t="n"/>
    </row>
    <row r="384" ht="14.25" customHeight="1">
      <c r="B384" s="55" t="n"/>
      <c r="C384" s="25" t="n"/>
      <c r="D384" s="25" t="n"/>
      <c r="E384" s="26" t="n"/>
      <c r="F384" s="67" t="n"/>
      <c r="G384" s="2">
        <f>+IF(Tableau1[[#This Row],[Fournisseur]]="","",IFERROR(VLOOKUP(Tableau1[[#This Row],[Fournisseur]],SuiviFrs,2,FALSE),"Vérifier la syntaxe : Fournisseur introuvable au niveau du suivi des conventions"))</f>
        <v/>
      </c>
      <c r="H384" s="7">
        <f>++IF(Tableau1[[#This Row],[Fournisseur]]="","",C384+G384-1)</f>
        <v/>
      </c>
      <c r="I384" s="8">
        <f>++IF(Tableau1[[#This Row],[Fournisseur]]="","",IF(H384-Tableau1[[#This Row],[Date Paiement Effectif]]&gt;0," ",H384-Tableau1[[#This Row],[Date Paiement Effectif]]))</f>
        <v/>
      </c>
      <c r="J384" s="9">
        <f>++IF(Tableau1[[#This Row],[Fournisseur]]="","",IF(Tableau1[[#This Row],[Date Paiement Effectif]]="","Non encore payée",IF(I384&lt;0,"Attention, paiement hors délais","OK RAS")))</f>
        <v/>
      </c>
      <c r="K384" s="31" t="n"/>
      <c r="L384" s="31" t="n"/>
      <c r="M384" s="31" t="n"/>
    </row>
    <row r="385" ht="14.25" customHeight="1">
      <c r="B385" s="55" t="n"/>
      <c r="C385" s="25" t="n"/>
      <c r="D385" s="25" t="n"/>
      <c r="E385" s="26" t="n"/>
      <c r="F385" s="67" t="n"/>
      <c r="G385" s="2">
        <f>+IF(Tableau1[[#This Row],[Fournisseur]]="","",IFERROR(VLOOKUP(Tableau1[[#This Row],[Fournisseur]],SuiviFrs,2,FALSE),"Vérifier la syntaxe : Fournisseur introuvable au niveau du suivi des conventions"))</f>
        <v/>
      </c>
      <c r="H385" s="7">
        <f>++IF(Tableau1[[#This Row],[Fournisseur]]="","",C385+G385-1)</f>
        <v/>
      </c>
      <c r="I385" s="8">
        <f>++IF(Tableau1[[#This Row],[Fournisseur]]="","",IF(H385-Tableau1[[#This Row],[Date Paiement Effectif]]&gt;0," ",H385-Tableau1[[#This Row],[Date Paiement Effectif]]))</f>
        <v/>
      </c>
      <c r="J385" s="9">
        <f>++IF(Tableau1[[#This Row],[Fournisseur]]="","",IF(Tableau1[[#This Row],[Date Paiement Effectif]]="","Non encore payée",IF(I385&lt;0,"Attention, paiement hors délais","OK RAS")))</f>
        <v/>
      </c>
      <c r="K385" s="31" t="n"/>
      <c r="L385" s="31" t="n"/>
      <c r="M385" s="31" t="n"/>
    </row>
    <row r="386" ht="14.25" customHeight="1">
      <c r="B386" s="55" t="n"/>
      <c r="C386" s="25" t="n"/>
      <c r="D386" s="25" t="n"/>
      <c r="E386" s="26" t="n"/>
      <c r="F386" s="67" t="n"/>
      <c r="G386" s="2">
        <f>+IF(Tableau1[[#This Row],[Fournisseur]]="","",IFERROR(VLOOKUP(Tableau1[[#This Row],[Fournisseur]],SuiviFrs,2,FALSE),"Vérifier la syntaxe : Fournisseur introuvable au niveau du suivi des conventions"))</f>
        <v/>
      </c>
      <c r="H386" s="7">
        <f>++IF(Tableau1[[#This Row],[Fournisseur]]="","",C386+G386-1)</f>
        <v/>
      </c>
      <c r="I386" s="8">
        <f>++IF(Tableau1[[#This Row],[Fournisseur]]="","",IF(H386-Tableau1[[#This Row],[Date Paiement Effectif]]&gt;0," ",H386-Tableau1[[#This Row],[Date Paiement Effectif]]))</f>
        <v/>
      </c>
      <c r="J386" s="9">
        <f>++IF(Tableau1[[#This Row],[Fournisseur]]="","",IF(Tableau1[[#This Row],[Date Paiement Effectif]]="","Non encore payée",IF(I386&lt;0,"Attention, paiement hors délais","OK RAS")))</f>
        <v/>
      </c>
      <c r="K386" s="31" t="n"/>
      <c r="L386" s="31" t="n"/>
      <c r="M386" s="31" t="n"/>
    </row>
    <row r="387" ht="14.25" customHeight="1">
      <c r="B387" s="55" t="n"/>
      <c r="C387" s="25" t="n"/>
      <c r="D387" s="25" t="n"/>
      <c r="E387" s="46" t="n"/>
      <c r="F387" s="67" t="n"/>
      <c r="G387" s="2">
        <f>+IF(Tableau1[[#This Row],[Fournisseur]]="","",IFERROR(VLOOKUP(Tableau1[[#This Row],[Fournisseur]],SuiviFrs,2,FALSE),"Vérifier la syntaxe : Fournisseur introuvable au niveau du suivi des conventions"))</f>
        <v/>
      </c>
      <c r="H387" s="7">
        <f>++IF(Tableau1[[#This Row],[Fournisseur]]="","",C387+G387-1)</f>
        <v/>
      </c>
      <c r="I387" s="8">
        <f>++IF(Tableau1[[#This Row],[Fournisseur]]="","",IF(H387-Tableau1[[#This Row],[Date Paiement Effectif]]&gt;0," ",H387-Tableau1[[#This Row],[Date Paiement Effectif]]))</f>
        <v/>
      </c>
      <c r="J387" s="9">
        <f>++IF(Tableau1[[#This Row],[Fournisseur]]="","",IF(Tableau1[[#This Row],[Date Paiement Effectif]]="","Non encore payée",IF(I387&lt;0,"Attention, paiement hors délais","OK RAS")))</f>
        <v/>
      </c>
      <c r="K387" s="31" t="n"/>
      <c r="L387" s="31" t="n"/>
      <c r="M387" s="31" t="n"/>
    </row>
    <row r="388" ht="14.25" customHeight="1">
      <c r="B388" s="55" t="n"/>
      <c r="C388" s="25" t="n"/>
      <c r="D388" s="25" t="n"/>
      <c r="E388" s="26" t="n"/>
      <c r="F388" s="67" t="n"/>
      <c r="G388" s="2">
        <f>+IF(Tableau1[[#This Row],[Fournisseur]]="","",IFERROR(VLOOKUP(Tableau1[[#This Row],[Fournisseur]],SuiviFrs,2,FALSE),"Vérifier la syntaxe : Fournisseur introuvable au niveau du suivi des conventions"))</f>
        <v/>
      </c>
      <c r="H388" s="7">
        <f>++IF(Tableau1[[#This Row],[Fournisseur]]="","",C388+G388-1)</f>
        <v/>
      </c>
      <c r="I388" s="8">
        <f>++IF(Tableau1[[#This Row],[Fournisseur]]="","",IF(H388-Tableau1[[#This Row],[Date Paiement Effectif]]&gt;0," ",H388-Tableau1[[#This Row],[Date Paiement Effectif]]))</f>
        <v/>
      </c>
      <c r="J388" s="9">
        <f>++IF(Tableau1[[#This Row],[Fournisseur]]="","",IF(Tableau1[[#This Row],[Date Paiement Effectif]]="","Non encore payée",IF(I388&lt;0,"Attention, paiement hors délais","OK RAS")))</f>
        <v/>
      </c>
      <c r="K388" s="31" t="n"/>
      <c r="L388" s="31" t="n"/>
      <c r="M388" s="31" t="n"/>
    </row>
    <row r="389" ht="14.25" customHeight="1">
      <c r="B389" s="55" t="n"/>
      <c r="C389" s="25" t="n"/>
      <c r="D389" s="25" t="n"/>
      <c r="E389" s="26" t="n"/>
      <c r="F389" s="67" t="n"/>
      <c r="G389" s="2">
        <f>+IF(Tableau1[[#This Row],[Fournisseur]]="","",IFERROR(VLOOKUP(Tableau1[[#This Row],[Fournisseur]],SuiviFrs,2,FALSE),"Vérifier la syntaxe : Fournisseur introuvable au niveau du suivi des conventions"))</f>
        <v/>
      </c>
      <c r="H389" s="7">
        <f>++IF(Tableau1[[#This Row],[Fournisseur]]="","",C389+G389-1)</f>
        <v/>
      </c>
      <c r="I389" s="8">
        <f>++IF(Tableau1[[#This Row],[Fournisseur]]="","",IF(H389-Tableau1[[#This Row],[Date Paiement Effectif]]&gt;0," ",H389-Tableau1[[#This Row],[Date Paiement Effectif]]))</f>
        <v/>
      </c>
      <c r="J389" s="9">
        <f>++IF(Tableau1[[#This Row],[Fournisseur]]="","",IF(Tableau1[[#This Row],[Date Paiement Effectif]]="","Non encore payée",IF(I389&lt;0,"Attention, paiement hors délais","OK RAS")))</f>
        <v/>
      </c>
      <c r="K389" s="31" t="n"/>
      <c r="L389" s="31" t="n"/>
      <c r="M389" s="31" t="n"/>
    </row>
    <row r="390" ht="14.25" customHeight="1">
      <c r="B390" s="55" t="n"/>
      <c r="C390" s="25" t="n"/>
      <c r="D390" s="25" t="n"/>
      <c r="E390" s="26" t="n"/>
      <c r="F390" s="67" t="n"/>
      <c r="G390" s="2">
        <f>+IF(Tableau1[[#This Row],[Fournisseur]]="","",IFERROR(VLOOKUP(Tableau1[[#This Row],[Fournisseur]],SuiviFrs,2,FALSE),"Vérifier la syntaxe : Fournisseur introuvable au niveau du suivi des conventions"))</f>
        <v/>
      </c>
      <c r="H390" s="7">
        <f>++IF(Tableau1[[#This Row],[Fournisseur]]="","",C390+G390-1)</f>
        <v/>
      </c>
      <c r="I390" s="8">
        <f>++IF(Tableau1[[#This Row],[Fournisseur]]="","",IF(H390-Tableau1[[#This Row],[Date Paiement Effectif]]&gt;0," ",H390-Tableau1[[#This Row],[Date Paiement Effectif]]))</f>
        <v/>
      </c>
      <c r="J390" s="9">
        <f>++IF(Tableau1[[#This Row],[Fournisseur]]="","",IF(Tableau1[[#This Row],[Date Paiement Effectif]]="","Non encore payée",IF(I390&lt;0,"Attention, paiement hors délais","OK RAS")))</f>
        <v/>
      </c>
      <c r="K390" s="31" t="n"/>
      <c r="L390" s="31" t="n"/>
      <c r="M390" s="31" t="n"/>
    </row>
    <row r="391" ht="14.25" customHeight="1">
      <c r="B391" s="55" t="n"/>
      <c r="C391" s="25" t="n"/>
      <c r="D391" s="25" t="n"/>
      <c r="E391" s="26" t="n"/>
      <c r="F391" s="67" t="n"/>
      <c r="G391" s="2">
        <f>+IF(Tableau1[[#This Row],[Fournisseur]]="","",IFERROR(VLOOKUP(Tableau1[[#This Row],[Fournisseur]],SuiviFrs,2,FALSE),"Vérifier la syntaxe : Fournisseur introuvable au niveau du suivi des conventions"))</f>
        <v/>
      </c>
      <c r="H391" s="7">
        <f>++IF(Tableau1[[#This Row],[Fournisseur]]="","",C391+G391-1)</f>
        <v/>
      </c>
      <c r="I391" s="8">
        <f>++IF(Tableau1[[#This Row],[Fournisseur]]="","",IF(H391-Tableau1[[#This Row],[Date Paiement Effectif]]&gt;0," ",H391-Tableau1[[#This Row],[Date Paiement Effectif]]))</f>
        <v/>
      </c>
      <c r="J391" s="9">
        <f>++IF(Tableau1[[#This Row],[Fournisseur]]="","",IF(Tableau1[[#This Row],[Date Paiement Effectif]]="","Non encore payée",IF(I391&lt;0,"Attention, paiement hors délais","OK RAS")))</f>
        <v/>
      </c>
      <c r="K391" s="31" t="n"/>
      <c r="L391" s="31" t="n"/>
      <c r="M391" s="31" t="n"/>
    </row>
    <row r="392" ht="14.25" customHeight="1">
      <c r="B392" s="55" t="n"/>
      <c r="C392" s="82" t="n"/>
      <c r="D392" s="82" t="n"/>
      <c r="E392" s="83" t="n"/>
      <c r="F392" s="84" t="n"/>
      <c r="G392" s="2">
        <f>+IF(Tableau1[[#This Row],[Fournisseur]]="","",IFERROR(VLOOKUP(Tableau1[[#This Row],[Fournisseur]],SuiviFrs,2,FALSE),"Vérifier la syntaxe : Fournisseur introuvable au niveau du suivi des conventions"))</f>
        <v/>
      </c>
      <c r="H392" s="7">
        <f>++IF(Tableau1[[#This Row],[Fournisseur]]="","",C392+G392-1)</f>
        <v/>
      </c>
      <c r="I392" s="8">
        <f>++IF(Tableau1[[#This Row],[Fournisseur]]="","",IF(H392-Tableau1[[#This Row],[Date Paiement Effectif]]&gt;0," ",H392-Tableau1[[#This Row],[Date Paiement Effectif]]))</f>
        <v/>
      </c>
      <c r="J392" s="9">
        <f>++IF(Tableau1[[#This Row],[Fournisseur]]="","",IF(Tableau1[[#This Row],[Date Paiement Effectif]]="","Non encore payée",IF(I392&lt;0,"Attention, paiement hors délais","OK RAS")))</f>
        <v/>
      </c>
      <c r="K392" s="54" t="n">
        <v>46053</v>
      </c>
      <c r="L392" s="54" t="n"/>
      <c r="M392" s="31" t="n"/>
    </row>
    <row r="393" ht="14.25" customHeight="1">
      <c r="B393" s="55" t="n"/>
      <c r="C393" s="25" t="n"/>
      <c r="D393" s="25" t="n"/>
      <c r="E393" s="26" t="n"/>
      <c r="F393" s="67" t="n"/>
      <c r="G393" s="2">
        <f>+IF(Tableau1[[#This Row],[Fournisseur]]="","",IFERROR(VLOOKUP(Tableau1[[#This Row],[Fournisseur]],SuiviFrs,2,FALSE),"Vérifier la syntaxe : Fournisseur introuvable au niveau du suivi des conventions"))</f>
        <v/>
      </c>
      <c r="H393" s="7">
        <f>++IF(Tableau1[[#This Row],[Fournisseur]]="","",C393+G393-1)</f>
        <v/>
      </c>
      <c r="I393" s="8">
        <f>++IF(Tableau1[[#This Row],[Fournisseur]]="","",IF(H393-Tableau1[[#This Row],[Date Paiement Effectif]]&gt;0," ",H393-Tableau1[[#This Row],[Date Paiement Effectif]]))</f>
        <v/>
      </c>
      <c r="J393" s="9">
        <f>++IF(Tableau1[[#This Row],[Fournisseur]]="","",IF(Tableau1[[#This Row],[Date Paiement Effectif]]="","Non encore payée",IF(I393&lt;0,"Attention, paiement hors délais","OK RAS")))</f>
        <v/>
      </c>
      <c r="K393" s="31" t="n"/>
      <c r="L393" s="31" t="n"/>
      <c r="M393" s="31" t="n"/>
    </row>
    <row r="394" ht="14.25" customHeight="1">
      <c r="B394" s="55" t="n"/>
      <c r="C394" s="25" t="n"/>
      <c r="D394" s="25" t="n"/>
      <c r="E394" s="46" t="n"/>
      <c r="F394" s="67" t="n"/>
      <c r="G394" s="2">
        <f>+IF(Tableau1[[#This Row],[Fournisseur]]="","",IFERROR(VLOOKUP(Tableau1[[#This Row],[Fournisseur]],SuiviFrs,2,FALSE),"Vérifier la syntaxe : Fournisseur introuvable au niveau du suivi des conventions"))</f>
        <v/>
      </c>
      <c r="H394" s="7">
        <f>++IF(Tableau1[[#This Row],[Fournisseur]]="","",C394+G394-1)</f>
        <v/>
      </c>
      <c r="I394" s="8">
        <f>++IF(Tableau1[[#This Row],[Fournisseur]]="","",IF(H394-Tableau1[[#This Row],[Date Paiement Effectif]]&gt;0," ",H394-Tableau1[[#This Row],[Date Paiement Effectif]]))</f>
        <v/>
      </c>
      <c r="J394" s="9">
        <f>++IF(Tableau1[[#This Row],[Fournisseur]]="","",IF(Tableau1[[#This Row],[Date Paiement Effectif]]="","Non encore payée",IF(I394&lt;0,"Attention, paiement hors délais","OK RAS")))</f>
        <v/>
      </c>
      <c r="K394" s="31" t="n"/>
      <c r="L394" s="31" t="n"/>
      <c r="M394" s="31" t="n"/>
    </row>
    <row r="395" ht="14.25" customHeight="1">
      <c r="B395" s="55" t="n"/>
      <c r="C395" s="25" t="n"/>
      <c r="D395" s="25" t="n"/>
      <c r="E395" s="26" t="n"/>
      <c r="F395" s="67" t="n"/>
      <c r="G395" s="2">
        <f>+IF(Tableau1[[#This Row],[Fournisseur]]="","",IFERROR(VLOOKUP(Tableau1[[#This Row],[Fournisseur]],SuiviFrs,2,FALSE),"Vérifier la syntaxe : Fournisseur introuvable au niveau du suivi des conventions"))</f>
        <v/>
      </c>
      <c r="H395" s="7">
        <f>++IF(Tableau1[[#This Row],[Fournisseur]]="","",C395+G395-1)</f>
        <v/>
      </c>
      <c r="I395" s="8">
        <f>++IF(Tableau1[[#This Row],[Fournisseur]]="","",IF(H395-Tableau1[[#This Row],[Date Paiement Effectif]]&gt;0," ",H395-Tableau1[[#This Row],[Date Paiement Effectif]]))</f>
        <v/>
      </c>
      <c r="J395" s="9">
        <f>++IF(Tableau1[[#This Row],[Fournisseur]]="","",IF(Tableau1[[#This Row],[Date Paiement Effectif]]="","Non encore payée",IF(I395&lt;0,"Attention, paiement hors délais","OK RAS")))</f>
        <v/>
      </c>
      <c r="K395" s="31" t="n"/>
      <c r="L395" s="31" t="n"/>
      <c r="M395" s="31" t="n"/>
    </row>
    <row r="396" ht="14.25" customHeight="1">
      <c r="B396" s="55" t="n"/>
      <c r="C396" s="25" t="n"/>
      <c r="D396" s="25" t="n"/>
      <c r="E396" s="26" t="n"/>
      <c r="F396" s="67" t="n"/>
      <c r="G396" s="2">
        <f>+IF(Tableau1[[#This Row],[Fournisseur]]="","",IFERROR(VLOOKUP(Tableau1[[#This Row],[Fournisseur]],SuiviFrs,2,FALSE),"Vérifier la syntaxe : Fournisseur introuvable au niveau du suivi des conventions"))</f>
        <v/>
      </c>
      <c r="H396" s="7">
        <f>++IF(Tableau1[[#This Row],[Fournisseur]]="","",C396+G396-1)</f>
        <v/>
      </c>
      <c r="I396" s="8">
        <f>++IF(Tableau1[[#This Row],[Fournisseur]]="","",IF(H396-Tableau1[[#This Row],[Date Paiement Effectif]]&gt;0," ",H396-Tableau1[[#This Row],[Date Paiement Effectif]]))</f>
        <v/>
      </c>
      <c r="J396" s="9">
        <f>++IF(Tableau1[[#This Row],[Fournisseur]]="","",IF(Tableau1[[#This Row],[Date Paiement Effectif]]="","Non encore payée",IF(I396&lt;0,"Attention, paiement hors délais","OK RAS")))</f>
        <v/>
      </c>
      <c r="K396" s="31" t="n"/>
      <c r="L396" s="31" t="n"/>
      <c r="M396" s="31" t="n"/>
    </row>
    <row r="397" ht="14.25" customHeight="1">
      <c r="B397" s="55" t="n"/>
      <c r="C397" s="25" t="n"/>
      <c r="D397" s="25" t="n"/>
      <c r="E397" s="26" t="n"/>
      <c r="F397" s="67" t="n"/>
      <c r="G397" s="2">
        <f>+IF(Tableau1[[#This Row],[Fournisseur]]="","",IFERROR(VLOOKUP(Tableau1[[#This Row],[Fournisseur]],SuiviFrs,2,FALSE),"Vérifier la syntaxe : Fournisseur introuvable au niveau du suivi des conventions"))</f>
        <v/>
      </c>
      <c r="H397" s="7">
        <f>++IF(Tableau1[[#This Row],[Fournisseur]]="","",C397+G397-1)</f>
        <v/>
      </c>
      <c r="I397" s="8">
        <f>++IF(Tableau1[[#This Row],[Fournisseur]]="","",IF(H397-Tableau1[[#This Row],[Date Paiement Effectif]]&gt;0," ",H397-Tableau1[[#This Row],[Date Paiement Effectif]]))</f>
        <v/>
      </c>
      <c r="J397" s="9">
        <f>++IF(Tableau1[[#This Row],[Fournisseur]]="","",IF(Tableau1[[#This Row],[Date Paiement Effectif]]="","Non encore payée",IF(I397&lt;0,"Attention, paiement hors délais","OK RAS")))</f>
        <v/>
      </c>
      <c r="K397" s="31" t="n"/>
      <c r="L397" s="31" t="n"/>
      <c r="M397" s="31" t="n"/>
    </row>
    <row r="398" ht="14.25" customHeight="1">
      <c r="B398" s="55" t="n"/>
      <c r="C398" s="25" t="n"/>
      <c r="D398" s="25" t="n"/>
      <c r="E398" s="26" t="n"/>
      <c r="F398" s="67" t="n"/>
      <c r="G398" s="2">
        <f>+IF(Tableau1[[#This Row],[Fournisseur]]="","",IFERROR(VLOOKUP(Tableau1[[#This Row],[Fournisseur]],SuiviFrs,2,FALSE),"Vérifier la syntaxe : Fournisseur introuvable au niveau du suivi des conventions"))</f>
        <v/>
      </c>
      <c r="H398" s="7">
        <f>++IF(Tableau1[[#This Row],[Fournisseur]]="","",C398+G398-1)</f>
        <v/>
      </c>
      <c r="I398" s="8">
        <f>++IF(Tableau1[[#This Row],[Fournisseur]]="","",IF(H398-Tableau1[[#This Row],[Date Paiement Effectif]]&gt;0," ",H398-Tableau1[[#This Row],[Date Paiement Effectif]]))</f>
        <v/>
      </c>
      <c r="J398" s="9">
        <f>++IF(Tableau1[[#This Row],[Fournisseur]]="","",IF(Tableau1[[#This Row],[Date Paiement Effectif]]="","Non encore payée",IF(I398&lt;0,"Attention, paiement hors délais","OK RAS")))</f>
        <v/>
      </c>
      <c r="K398" s="31" t="n"/>
      <c r="L398" s="31" t="n"/>
      <c r="M398" s="31" t="n"/>
    </row>
    <row r="399" ht="14.25" customHeight="1">
      <c r="B399" s="55" t="n"/>
      <c r="C399" s="25" t="n"/>
      <c r="D399" s="25" t="n"/>
      <c r="E399" s="26" t="n"/>
      <c r="F399" s="67" t="n"/>
      <c r="G399" s="2">
        <f>+IF(Tableau1[[#This Row],[Fournisseur]]="","",IFERROR(VLOOKUP(Tableau1[[#This Row],[Fournisseur]],SuiviFrs,2,FALSE),"Vérifier la syntaxe : Fournisseur introuvable au niveau du suivi des conventions"))</f>
        <v/>
      </c>
      <c r="H399" s="7">
        <f>++IF(Tableau1[[#This Row],[Fournisseur]]="","",C399+G399-1)</f>
        <v/>
      </c>
      <c r="I399" s="8">
        <f>++IF(Tableau1[[#This Row],[Fournisseur]]="","",IF(H399-Tableau1[[#This Row],[Date Paiement Effectif]]&gt;0," ",H399-Tableau1[[#This Row],[Date Paiement Effectif]]))</f>
        <v/>
      </c>
      <c r="J399" s="9">
        <f>++IF(Tableau1[[#This Row],[Fournisseur]]="","",IF(Tableau1[[#This Row],[Date Paiement Effectif]]="","Non encore payée",IF(I399&lt;0,"Attention, paiement hors délais","OK RAS")))</f>
        <v/>
      </c>
      <c r="K399" s="31" t="n"/>
      <c r="L399" s="31" t="n"/>
      <c r="M399" s="31" t="n"/>
    </row>
    <row r="400" ht="14.25" customHeight="1">
      <c r="B400" s="55" t="n"/>
      <c r="C400" s="25" t="n"/>
      <c r="D400" s="25" t="n"/>
      <c r="E400" s="46" t="n"/>
      <c r="F400" s="67" t="n"/>
      <c r="G400" s="2">
        <f>+IF(Tableau1[[#This Row],[Fournisseur]]="","",IFERROR(VLOOKUP(Tableau1[[#This Row],[Fournisseur]],SuiviFrs,2,FALSE),"Vérifier la syntaxe : Fournisseur introuvable au niveau du suivi des conventions"))</f>
        <v/>
      </c>
      <c r="H400" s="7">
        <f>++IF(Tableau1[[#This Row],[Fournisseur]]="","",C400+G400-1)</f>
        <v/>
      </c>
      <c r="I400" s="8">
        <f>++IF(Tableau1[[#This Row],[Fournisseur]]="","",IF(H400-Tableau1[[#This Row],[Date Paiement Effectif]]&gt;0," ",H400-Tableau1[[#This Row],[Date Paiement Effectif]]))</f>
        <v/>
      </c>
      <c r="J400" s="9">
        <f>++IF(Tableau1[[#This Row],[Fournisseur]]="","",IF(Tableau1[[#This Row],[Date Paiement Effectif]]="","Non encore payée",IF(I400&lt;0,"Attention, paiement hors délais","OK RAS")))</f>
        <v/>
      </c>
      <c r="K400" s="54" t="n">
        <v>46077</v>
      </c>
      <c r="L400" s="54" t="n"/>
      <c r="M400" s="31" t="n"/>
    </row>
    <row r="401" ht="14.25" customHeight="1">
      <c r="B401" s="59" t="n"/>
      <c r="C401" s="25" t="n"/>
      <c r="D401" s="25" t="n"/>
      <c r="E401" s="46" t="n"/>
      <c r="F401" s="67" t="n"/>
      <c r="G401" s="2">
        <f>+IF(Tableau1[[#This Row],[Fournisseur]]="","",IFERROR(VLOOKUP(Tableau1[[#This Row],[Fournisseur]],SuiviFrs,2,FALSE),"Vérifier la syntaxe : Fournisseur introuvable au niveau du suivi des conventions"))</f>
        <v/>
      </c>
      <c r="H401" s="7">
        <f>++IF(Tableau1[[#This Row],[Fournisseur]]="","",C401+G401-1)</f>
        <v/>
      </c>
      <c r="I401" s="8">
        <f>++IF(Tableau1[[#This Row],[Fournisseur]]="","",IF(H401-Tableau1[[#This Row],[Date Paiement Effectif]]&gt;0," ",H401-Tableau1[[#This Row],[Date Paiement Effectif]]))</f>
        <v/>
      </c>
      <c r="J401" s="9">
        <f>++IF(Tableau1[[#This Row],[Fournisseur]]="","",IF(Tableau1[[#This Row],[Date Paiement Effectif]]="","Non encore payée",IF(I401&lt;0,"Attention, paiement hors délais","OK RAS")))</f>
        <v/>
      </c>
      <c r="K401" s="54" t="n">
        <v>46062</v>
      </c>
      <c r="L401" s="54" t="n"/>
      <c r="M401" s="31" t="n"/>
    </row>
    <row r="402" ht="14.25" customHeight="1">
      <c r="B402" s="55" t="n"/>
      <c r="C402" s="25" t="n"/>
      <c r="D402" s="25" t="n"/>
      <c r="E402" s="46" t="n"/>
      <c r="F402" s="68" t="n"/>
      <c r="G402" s="2">
        <f>+IF(Tableau1[[#This Row],[Fournisseur]]="","",IFERROR(VLOOKUP(Tableau1[[#This Row],[Fournisseur]],SuiviFrs,2,FALSE),"Vérifier la syntaxe : Fournisseur introuvable au niveau du suivi des conventions"))</f>
        <v/>
      </c>
      <c r="H402" s="7">
        <f>++IF(Tableau1[[#This Row],[Fournisseur]]="","",C402+G402-1)</f>
        <v/>
      </c>
      <c r="I402" s="8">
        <f>++IF(Tableau1[[#This Row],[Fournisseur]]="","",IF(H402-Tableau1[[#This Row],[Date Paiement Effectif]]&gt;0," ",H402-Tableau1[[#This Row],[Date Paiement Effectif]]))</f>
        <v/>
      </c>
      <c r="J402" s="9">
        <f>++IF(Tableau1[[#This Row],[Fournisseur]]="","",IF(Tableau1[[#This Row],[Date Paiement Effectif]]="","Non encore payée",IF(I402&lt;0,"Attention, paiement hors délais","OK RAS")))</f>
        <v/>
      </c>
      <c r="K402" s="31" t="n"/>
      <c r="L402" s="31" t="n"/>
      <c r="M402" s="31" t="n"/>
    </row>
    <row r="403" ht="14.25" customHeight="1">
      <c r="B403" s="59" t="n"/>
      <c r="C403" s="25" t="n"/>
      <c r="D403" s="25" t="n"/>
      <c r="E403" s="56" t="n"/>
      <c r="F403" s="67" t="n"/>
      <c r="G403" s="2">
        <f>+IF(Tableau1[[#This Row],[Fournisseur]]="","",IFERROR(VLOOKUP(Tableau1[[#This Row],[Fournisseur]],SuiviFrs,2,FALSE),"Vérifier la syntaxe : Fournisseur introuvable au niveau du suivi des conventions"))</f>
        <v/>
      </c>
      <c r="H403" s="7">
        <f>++IF(Tableau1[[#This Row],[Fournisseur]]="","",C403+G403-1)</f>
        <v/>
      </c>
      <c r="I403" s="8">
        <f>++IF(Tableau1[[#This Row],[Fournisseur]]="","",IF(H403-Tableau1[[#This Row],[Date Paiement Effectif]]&gt;0," ",H403-Tableau1[[#This Row],[Date Paiement Effectif]]))</f>
        <v/>
      </c>
      <c r="J403" s="9">
        <f>++IF(Tableau1[[#This Row],[Fournisseur]]="","",IF(Tableau1[[#This Row],[Date Paiement Effectif]]="","Non encore payée",IF(I403&lt;0,"Attention, paiement hors délais","OK RAS")))</f>
        <v/>
      </c>
      <c r="K403" s="54" t="n">
        <v>46062</v>
      </c>
      <c r="L403" s="54" t="n"/>
      <c r="M403" s="31" t="n"/>
    </row>
    <row r="404" ht="14.25" customHeight="1">
      <c r="B404" s="59" t="n"/>
      <c r="C404" s="25" t="n"/>
      <c r="D404" s="25" t="n"/>
      <c r="E404" s="46" t="n"/>
      <c r="F404" s="67" t="n"/>
      <c r="G404" s="2">
        <f>+IF(Tableau1[[#This Row],[Fournisseur]]="","",IFERROR(VLOOKUP(Tableau1[[#This Row],[Fournisseur]],SuiviFrs,2,FALSE),"Vérifier la syntaxe : Fournisseur introuvable au niveau du suivi des conventions"))</f>
        <v/>
      </c>
      <c r="H404" s="7">
        <f>++IF(Tableau1[[#This Row],[Fournisseur]]="","",C404+G404-1)</f>
        <v/>
      </c>
      <c r="I404" s="8">
        <f>++IF(Tableau1[[#This Row],[Fournisseur]]="","",IF(H404-Tableau1[[#This Row],[Date Paiement Effectif]]&gt;0," ",H404-Tableau1[[#This Row],[Date Paiement Effectif]]))</f>
        <v/>
      </c>
      <c r="J404" s="9">
        <f>++IF(Tableau1[[#This Row],[Fournisseur]]="","",IF(Tableau1[[#This Row],[Date Paiement Effectif]]="","Non encore payée",IF(I404&lt;0,"Attention, paiement hors délais","OK RAS")))</f>
        <v/>
      </c>
      <c r="K404" s="54" t="n">
        <v>46062</v>
      </c>
      <c r="L404" s="54" t="n"/>
      <c r="M404" s="31" t="n"/>
    </row>
    <row r="405" ht="14.25" customHeight="1">
      <c r="B405" s="59" t="n"/>
      <c r="C405" s="25" t="n"/>
      <c r="D405" s="25" t="n"/>
      <c r="E405" s="46" t="n"/>
      <c r="F405" s="67" t="n"/>
      <c r="G405" s="2">
        <f>+IF(Tableau1[[#This Row],[Fournisseur]]="","",IFERROR(VLOOKUP(Tableau1[[#This Row],[Fournisseur]],SuiviFrs,2,FALSE),"Vérifier la syntaxe : Fournisseur introuvable au niveau du suivi des conventions"))</f>
        <v/>
      </c>
      <c r="H405" s="7">
        <f>++IF(Tableau1[[#This Row],[Fournisseur]]="","",C405+G405-1)</f>
        <v/>
      </c>
      <c r="I405" s="8">
        <f>++IF(Tableau1[[#This Row],[Fournisseur]]="","",IF(H405-Tableau1[[#This Row],[Date Paiement Effectif]]&gt;0," ",H405-Tableau1[[#This Row],[Date Paiement Effectif]]))</f>
        <v/>
      </c>
      <c r="J405" s="9">
        <f>++IF(Tableau1[[#This Row],[Fournisseur]]="","",IF(Tableau1[[#This Row],[Date Paiement Effectif]]="","Non encore payée",IF(I405&lt;0,"Attention, paiement hors délais","OK RAS")))</f>
        <v/>
      </c>
      <c r="K405" s="54" t="n">
        <v>46062</v>
      </c>
      <c r="L405" s="54" t="n"/>
      <c r="M405" s="31" t="n"/>
    </row>
    <row r="406" ht="14.25" customHeight="1">
      <c r="B406" s="59" t="n"/>
      <c r="C406" s="25" t="n"/>
      <c r="D406" s="25" t="n"/>
      <c r="E406" s="56" t="n"/>
      <c r="F406" s="67" t="n"/>
      <c r="G406" s="2">
        <f>+IF(Tableau1[[#This Row],[Fournisseur]]="","",IFERROR(VLOOKUP(Tableau1[[#This Row],[Fournisseur]],SuiviFrs,2,FALSE),"Vérifier la syntaxe : Fournisseur introuvable au niveau du suivi des conventions"))</f>
        <v/>
      </c>
      <c r="H406" s="7">
        <f>++IF(Tableau1[[#This Row],[Fournisseur]]="","",C406+G406-1)</f>
        <v/>
      </c>
      <c r="I406" s="8">
        <f>++IF(Tableau1[[#This Row],[Fournisseur]]="","",IF(H406-Tableau1[[#This Row],[Date Paiement Effectif]]&gt;0," ",H406-Tableau1[[#This Row],[Date Paiement Effectif]]))</f>
        <v/>
      </c>
      <c r="J406" s="9">
        <f>++IF(Tableau1[[#This Row],[Fournisseur]]="","",IF(Tableau1[[#This Row],[Date Paiement Effectif]]="","Non encore payée",IF(I406&lt;0,"Attention, paiement hors délais","OK RAS")))</f>
        <v/>
      </c>
      <c r="K406" s="54" t="n">
        <v>46062</v>
      </c>
      <c r="L406" s="54" t="n"/>
      <c r="M406" s="31" t="n"/>
    </row>
    <row r="407" ht="14.25" customHeight="1">
      <c r="B407" s="59" t="n"/>
      <c r="C407" s="25" t="n"/>
      <c r="D407" s="25" t="n"/>
      <c r="E407" s="46" t="n"/>
      <c r="F407" s="67" t="n"/>
      <c r="G407" s="2">
        <f>+IF(Tableau1[[#This Row],[Fournisseur]]="","",IFERROR(VLOOKUP(Tableau1[[#This Row],[Fournisseur]],SuiviFrs,2,FALSE),"Vérifier la syntaxe : Fournisseur introuvable au niveau du suivi des conventions"))</f>
        <v/>
      </c>
      <c r="H407" s="7">
        <f>++IF(Tableau1[[#This Row],[Fournisseur]]="","",C407+G407-1)</f>
        <v/>
      </c>
      <c r="I407" s="8">
        <f>++IF(Tableau1[[#This Row],[Fournisseur]]="","",IF(H407-Tableau1[[#This Row],[Date Paiement Effectif]]&gt;0," ",H407-Tableau1[[#This Row],[Date Paiement Effectif]]))</f>
        <v/>
      </c>
      <c r="J407" s="9">
        <f>++IF(Tableau1[[#This Row],[Fournisseur]]="","",IF(Tableau1[[#This Row],[Date Paiement Effectif]]="","Non encore payée",IF(I407&lt;0,"Attention, paiement hors délais","OK RAS")))</f>
        <v/>
      </c>
      <c r="K407" s="31" t="n"/>
      <c r="L407" s="31" t="n"/>
      <c r="M407" s="31" t="n"/>
    </row>
    <row r="408" ht="14.25" customHeight="1">
      <c r="B408" s="55" t="n"/>
      <c r="C408" s="25" t="n"/>
      <c r="D408" s="25" t="n"/>
      <c r="E408" s="46" t="n"/>
      <c r="F408" s="67" t="n"/>
      <c r="G408" s="2">
        <f>+IF(Tableau1[[#This Row],[Fournisseur]]="","",IFERROR(VLOOKUP(Tableau1[[#This Row],[Fournisseur]],SuiviFrs,2,FALSE),"Vérifier la syntaxe : Fournisseur introuvable au niveau du suivi des conventions"))</f>
        <v/>
      </c>
      <c r="H408" s="7">
        <f>++IF(Tableau1[[#This Row],[Fournisseur]]="","",C408+G408-1)</f>
        <v/>
      </c>
      <c r="I408" s="8">
        <f>++IF(Tableau1[[#This Row],[Fournisseur]]="","",IF(H408-Tableau1[[#This Row],[Date Paiement Effectif]]&gt;0," ",H408-Tableau1[[#This Row],[Date Paiement Effectif]]))</f>
        <v/>
      </c>
      <c r="J408" s="9">
        <f>++IF(Tableau1[[#This Row],[Fournisseur]]="","",IF(Tableau1[[#This Row],[Date Paiement Effectif]]="","Non encore payée",IF(I408&lt;0,"Attention, paiement hors délais","OK RAS")))</f>
        <v/>
      </c>
      <c r="K408" s="31" t="n"/>
      <c r="L408" s="31" t="n"/>
      <c r="M408" s="31" t="n"/>
    </row>
    <row r="409" ht="14.25" customHeight="1">
      <c r="B409" s="55" t="n"/>
      <c r="C409" s="25" t="n"/>
      <c r="D409" s="25" t="n"/>
      <c r="E409" s="46" t="n"/>
      <c r="F409" s="67" t="n"/>
      <c r="G409" s="2">
        <f>+IF(Tableau1[[#This Row],[Fournisseur]]="","",IFERROR(VLOOKUP(Tableau1[[#This Row],[Fournisseur]],SuiviFrs,2,FALSE),"Vérifier la syntaxe : Fournisseur introuvable au niveau du suivi des conventions"))</f>
        <v/>
      </c>
      <c r="H409" s="7">
        <f>++IF(Tableau1[[#This Row],[Fournisseur]]="","",C409+G409-1)</f>
        <v/>
      </c>
      <c r="I409" s="8">
        <f>++IF(Tableau1[[#This Row],[Fournisseur]]="","",IF(H409-Tableau1[[#This Row],[Date Paiement Effectif]]&gt;0," ",H409-Tableau1[[#This Row],[Date Paiement Effectif]]))</f>
        <v/>
      </c>
      <c r="J409" s="9">
        <f>++IF(Tableau1[[#This Row],[Fournisseur]]="","",IF(Tableau1[[#This Row],[Date Paiement Effectif]]="","Non encore payée",IF(I409&lt;0,"Attention, paiement hors délais","OK RAS")))</f>
        <v/>
      </c>
      <c r="K409" s="31" t="n"/>
      <c r="L409" s="31" t="n"/>
      <c r="M409" s="31" t="n"/>
    </row>
    <row r="410" ht="14.25" customHeight="1">
      <c r="B410" s="55" t="n"/>
      <c r="C410" s="25" t="n"/>
      <c r="D410" s="25" t="n"/>
      <c r="E410" s="26" t="n"/>
      <c r="F410" s="67" t="n"/>
      <c r="G410" s="2">
        <f>+IF(Tableau1[[#This Row],[Fournisseur]]="","",IFERROR(VLOOKUP(Tableau1[[#This Row],[Fournisseur]],SuiviFrs,2,FALSE),"Vérifier la syntaxe : Fournisseur introuvable au niveau du suivi des conventions"))</f>
        <v/>
      </c>
      <c r="H410" s="7">
        <f>++IF(Tableau1[[#This Row],[Fournisseur]]="","",C410+G410-1)</f>
        <v/>
      </c>
      <c r="I410" s="8">
        <f>++IF(Tableau1[[#This Row],[Fournisseur]]="","",IF(H410-Tableau1[[#This Row],[Date Paiement Effectif]]&gt;0," ",H410-Tableau1[[#This Row],[Date Paiement Effectif]]))</f>
        <v/>
      </c>
      <c r="J410" s="9">
        <f>++IF(Tableau1[[#This Row],[Fournisseur]]="","",IF(Tableau1[[#This Row],[Date Paiement Effectif]]="","Non encore payée",IF(I410&lt;0,"Attention, paiement hors délais","OK RAS")))</f>
        <v/>
      </c>
      <c r="K410" s="31" t="n"/>
      <c r="L410" s="31" t="n"/>
      <c r="M410" s="31" t="n"/>
    </row>
    <row r="411" ht="14.25" customHeight="1">
      <c r="B411" s="55" t="n"/>
      <c r="C411" s="25" t="n"/>
      <c r="D411" s="25" t="n"/>
      <c r="E411" s="26" t="n"/>
      <c r="F411" s="67" t="n"/>
      <c r="G411" s="2">
        <f>+IF(Tableau1[[#This Row],[Fournisseur]]="","",IFERROR(VLOOKUP(Tableau1[[#This Row],[Fournisseur]],SuiviFrs,2,FALSE),"Vérifier la syntaxe : Fournisseur introuvable au niveau du suivi des conventions"))</f>
        <v/>
      </c>
      <c r="H411" s="7">
        <f>++IF(Tableau1[[#This Row],[Fournisseur]]="","",C411+G411-1)</f>
        <v/>
      </c>
      <c r="I411" s="8">
        <f>++IF(Tableau1[[#This Row],[Fournisseur]]="","",IF(H411-Tableau1[[#This Row],[Date Paiement Effectif]]&gt;0," ",H411-Tableau1[[#This Row],[Date Paiement Effectif]]))</f>
        <v/>
      </c>
      <c r="J411" s="9">
        <f>++IF(Tableau1[[#This Row],[Fournisseur]]="","",IF(Tableau1[[#This Row],[Date Paiement Effectif]]="","Non encore payée",IF(I411&lt;0,"Attention, paiement hors délais","OK RAS")))</f>
        <v/>
      </c>
      <c r="K411" s="31" t="n"/>
      <c r="L411" s="31" t="n"/>
      <c r="M411" s="31" t="n"/>
    </row>
    <row r="412" ht="14.25" customHeight="1">
      <c r="B412" s="55" t="n"/>
      <c r="C412" s="25" t="n"/>
      <c r="D412" s="25" t="n"/>
      <c r="E412" s="26" t="n"/>
      <c r="F412" s="67" t="n"/>
      <c r="G412" s="2">
        <f>+IF(Tableau1[[#This Row],[Fournisseur]]="","",IFERROR(VLOOKUP(Tableau1[[#This Row],[Fournisseur]],SuiviFrs,2,FALSE),"Vérifier la syntaxe : Fournisseur introuvable au niveau du suivi des conventions"))</f>
        <v/>
      </c>
      <c r="H412" s="7">
        <f>++IF(Tableau1[[#This Row],[Fournisseur]]="","",C412+G412-1)</f>
        <v/>
      </c>
      <c r="I412" s="8">
        <f>++IF(Tableau1[[#This Row],[Fournisseur]]="","",IF(H412-Tableau1[[#This Row],[Date Paiement Effectif]]&gt;0," ",H412-Tableau1[[#This Row],[Date Paiement Effectif]]))</f>
        <v/>
      </c>
      <c r="J412" s="9">
        <f>++IF(Tableau1[[#This Row],[Fournisseur]]="","",IF(Tableau1[[#This Row],[Date Paiement Effectif]]="","Non encore payée",IF(I412&lt;0,"Attention, paiement hors délais","OK RAS")))</f>
        <v/>
      </c>
      <c r="K412" s="31" t="n"/>
      <c r="L412" s="31" t="n"/>
      <c r="M412" s="31" t="n"/>
    </row>
    <row r="413" ht="14.25" customHeight="1">
      <c r="B413" s="55" t="n"/>
      <c r="C413" s="25" t="n"/>
      <c r="D413" s="25" t="n"/>
      <c r="E413" s="26" t="n"/>
      <c r="F413" s="67" t="n"/>
      <c r="G413" s="2">
        <f>+IF(Tableau1[[#This Row],[Fournisseur]]="","",IFERROR(VLOOKUP(Tableau1[[#This Row],[Fournisseur]],SuiviFrs,2,FALSE),"Vérifier la syntaxe : Fournisseur introuvable au niveau du suivi des conventions"))</f>
        <v/>
      </c>
      <c r="H413" s="7">
        <f>++IF(Tableau1[[#This Row],[Fournisseur]]="","",C413+G413-1)</f>
        <v/>
      </c>
      <c r="I413" s="8">
        <f>++IF(Tableau1[[#This Row],[Fournisseur]]="","",IF(H413-Tableau1[[#This Row],[Date Paiement Effectif]]&gt;0," ",H413-Tableau1[[#This Row],[Date Paiement Effectif]]))</f>
        <v/>
      </c>
      <c r="J413" s="9">
        <f>++IF(Tableau1[[#This Row],[Fournisseur]]="","",IF(Tableau1[[#This Row],[Date Paiement Effectif]]="","Non encore payée",IF(I413&lt;0,"Attention, paiement hors délais","OK RAS")))</f>
        <v/>
      </c>
      <c r="K413" s="31" t="n"/>
      <c r="L413" s="31" t="n"/>
      <c r="M413" s="31" t="n"/>
    </row>
    <row r="414" ht="14.25" customHeight="1">
      <c r="B414" s="55" t="n"/>
      <c r="C414" s="25" t="n"/>
      <c r="D414" s="25" t="n"/>
      <c r="E414" s="46" t="n"/>
      <c r="F414" s="67" t="n"/>
      <c r="G414" s="2">
        <f>+IF(Tableau1[[#This Row],[Fournisseur]]="","",IFERROR(VLOOKUP(Tableau1[[#This Row],[Fournisseur]],SuiviFrs,2,FALSE),"Vérifier la syntaxe : Fournisseur introuvable au niveau du suivi des conventions"))</f>
        <v/>
      </c>
      <c r="H414" s="7">
        <f>++IF(Tableau1[[#This Row],[Fournisseur]]="","",C414+G414-1)</f>
        <v/>
      </c>
      <c r="I414" s="8">
        <f>++IF(Tableau1[[#This Row],[Fournisseur]]="","",IF(H414-Tableau1[[#This Row],[Date Paiement Effectif]]&gt;0," ",H414-Tableau1[[#This Row],[Date Paiement Effectif]]))</f>
        <v/>
      </c>
      <c r="J414" s="9">
        <f>++IF(Tableau1[[#This Row],[Fournisseur]]="","",IF(Tableau1[[#This Row],[Date Paiement Effectif]]="","Non encore payée",IF(I414&lt;0,"Attention, paiement hors délais","OK RAS")))</f>
        <v/>
      </c>
      <c r="K414" s="54" t="n">
        <v>46030</v>
      </c>
      <c r="L414" s="54" t="n"/>
      <c r="M414" s="31" t="n"/>
    </row>
    <row r="415" ht="14.25" customHeight="1">
      <c r="B415" s="55" t="n"/>
      <c r="C415" s="25" t="n"/>
      <c r="D415" s="25" t="n"/>
      <c r="E415" s="46" t="n"/>
      <c r="F415" s="67" t="n"/>
      <c r="G415" s="2">
        <f>+IF(Tableau1[[#This Row],[Fournisseur]]="","",IFERROR(VLOOKUP(Tableau1[[#This Row],[Fournisseur]],SuiviFrs,2,FALSE),"Vérifier la syntaxe : Fournisseur introuvable au niveau du suivi des conventions"))</f>
        <v/>
      </c>
      <c r="H415" s="7">
        <f>++IF(Tableau1[[#This Row],[Fournisseur]]="","",C415+G415-1)</f>
        <v/>
      </c>
      <c r="I415" s="8">
        <f>++IF(Tableau1[[#This Row],[Fournisseur]]="","",IF(H415-Tableau1[[#This Row],[Date Paiement Effectif]]&gt;0," ",H415-Tableau1[[#This Row],[Date Paiement Effectif]]))</f>
        <v/>
      </c>
      <c r="J415" s="9">
        <f>++IF(Tableau1[[#This Row],[Fournisseur]]="","",IF(Tableau1[[#This Row],[Date Paiement Effectif]]="","Non encore payée",IF(I415&lt;0,"Attention, paiement hors délais","OK RAS")))</f>
        <v/>
      </c>
      <c r="K415" s="54" t="n">
        <v>46035</v>
      </c>
      <c r="L415" s="54" t="n"/>
      <c r="M415" s="31" t="n"/>
    </row>
    <row r="416" ht="14.25" customHeight="1">
      <c r="B416" s="55" t="n"/>
      <c r="C416" s="25" t="n"/>
      <c r="D416" s="25" t="n"/>
      <c r="E416" s="46" t="n"/>
      <c r="F416" s="67" t="n"/>
      <c r="G416" s="2">
        <f>+IF(Tableau1[[#This Row],[Fournisseur]]="","",IFERROR(VLOOKUP(Tableau1[[#This Row],[Fournisseur]],SuiviFrs,2,FALSE),"Vérifier la syntaxe : Fournisseur introuvable au niveau du suivi des conventions"))</f>
        <v/>
      </c>
      <c r="H416" s="7">
        <f>++IF(Tableau1[[#This Row],[Fournisseur]]="","",C416+G416-1)</f>
        <v/>
      </c>
      <c r="I416" s="8">
        <f>++IF(Tableau1[[#This Row],[Fournisseur]]="","",IF(H416-Tableau1[[#This Row],[Date Paiement Effectif]]&gt;0," ",H416-Tableau1[[#This Row],[Date Paiement Effectif]]))</f>
        <v/>
      </c>
      <c r="J416" s="9">
        <f>++IF(Tableau1[[#This Row],[Fournisseur]]="","",IF(Tableau1[[#This Row],[Date Paiement Effectif]]="","Non encore payée",IF(I416&lt;0,"Attention, paiement hors délais","OK RAS")))</f>
        <v/>
      </c>
      <c r="K416" s="54" t="n">
        <v>46042</v>
      </c>
      <c r="L416" s="54" t="n"/>
      <c r="M416" s="31" t="n"/>
    </row>
    <row r="417" ht="14.25" customHeight="1">
      <c r="B417" s="55" t="n"/>
      <c r="C417" s="25" t="n"/>
      <c r="D417" s="25" t="n"/>
      <c r="E417" s="46" t="n"/>
      <c r="F417" s="67" t="n"/>
      <c r="G417" s="2">
        <f>+IF(Tableau1[[#This Row],[Fournisseur]]="","",IFERROR(VLOOKUP(Tableau1[[#This Row],[Fournisseur]],SuiviFrs,2,FALSE),"Vérifier la syntaxe : Fournisseur introuvable au niveau du suivi des conventions"))</f>
        <v/>
      </c>
      <c r="H417" s="7">
        <f>++IF(Tableau1[[#This Row],[Fournisseur]]="","",C417+G417-1)</f>
        <v/>
      </c>
      <c r="I417" s="8">
        <f>++IF(Tableau1[[#This Row],[Fournisseur]]="","",IF(H417-Tableau1[[#This Row],[Date Paiement Effectif]]&gt;0," ",H417-Tableau1[[#This Row],[Date Paiement Effectif]]))</f>
        <v/>
      </c>
      <c r="J417" s="9">
        <f>++IF(Tableau1[[#This Row],[Fournisseur]]="","",IF(Tableau1[[#This Row],[Date Paiement Effectif]]="","Non encore payée",IF(I417&lt;0,"Attention, paiement hors délais","OK RAS")))</f>
        <v/>
      </c>
      <c r="K417" s="31" t="n"/>
      <c r="L417" s="31" t="n"/>
      <c r="M417" s="31" t="n"/>
    </row>
    <row r="418" ht="14.25" customHeight="1">
      <c r="B418" s="55" t="n"/>
      <c r="C418" s="25" t="n"/>
      <c r="D418" s="25" t="n"/>
      <c r="E418" s="46" t="n"/>
      <c r="F418" s="67" t="n"/>
      <c r="G418" s="2">
        <f>+IF(Tableau1[[#This Row],[Fournisseur]]="","",IFERROR(VLOOKUP(Tableau1[[#This Row],[Fournisseur]],SuiviFrs,2,FALSE),"Vérifier la syntaxe : Fournisseur introuvable au niveau du suivi des conventions"))</f>
        <v/>
      </c>
      <c r="H418" s="7">
        <f>++IF(Tableau1[[#This Row],[Fournisseur]]="","",C418+G418-1)</f>
        <v/>
      </c>
      <c r="I418" s="8">
        <f>++IF(Tableau1[[#This Row],[Fournisseur]]="","",IF(H418-Tableau1[[#This Row],[Date Paiement Effectif]]&gt;0," ",H418-Tableau1[[#This Row],[Date Paiement Effectif]]))</f>
        <v/>
      </c>
      <c r="J418" s="9">
        <f>++IF(Tableau1[[#This Row],[Fournisseur]]="","",IF(Tableau1[[#This Row],[Date Paiement Effectif]]="","Non encore payée",IF(I418&lt;0,"Attention, paiement hors délais","OK RAS")))</f>
        <v/>
      </c>
      <c r="K418" s="31" t="n"/>
      <c r="L418" s="31" t="n"/>
      <c r="M418" s="31" t="n"/>
    </row>
    <row r="419" ht="14.25" customHeight="1">
      <c r="B419" s="55" t="n"/>
      <c r="C419" s="25" t="n"/>
      <c r="D419" s="25" t="n"/>
      <c r="E419" s="46" t="n"/>
      <c r="F419" s="67" t="n"/>
      <c r="G419" s="2">
        <f>+IF(Tableau1[[#This Row],[Fournisseur]]="","",IFERROR(VLOOKUP(Tableau1[[#This Row],[Fournisseur]],SuiviFrs,2,FALSE),"Vérifier la syntaxe : Fournisseur introuvable au niveau du suivi des conventions"))</f>
        <v/>
      </c>
      <c r="H419" s="7">
        <f>++IF(Tableau1[[#This Row],[Fournisseur]]="","",C419+G419-1)</f>
        <v/>
      </c>
      <c r="I419" s="8">
        <f>++IF(Tableau1[[#This Row],[Fournisseur]]="","",IF(H419-Tableau1[[#This Row],[Date Paiement Effectif]]&gt;0," ",H419-Tableau1[[#This Row],[Date Paiement Effectif]]))</f>
        <v/>
      </c>
      <c r="J419" s="9">
        <f>++IF(Tableau1[[#This Row],[Fournisseur]]="","",IF(Tableau1[[#This Row],[Date Paiement Effectif]]="","Non encore payée",IF(I419&lt;0,"Attention, paiement hors délais","OK RAS")))</f>
        <v/>
      </c>
      <c r="K419" s="31" t="n"/>
      <c r="L419" s="31" t="n"/>
      <c r="M419" s="31" t="n"/>
    </row>
    <row r="420" ht="14.25" customHeight="1">
      <c r="B420" s="55" t="n"/>
      <c r="C420" s="25" t="n"/>
      <c r="D420" s="25" t="n"/>
      <c r="E420" s="46" t="n"/>
      <c r="F420" s="67" t="n"/>
      <c r="G420" s="2">
        <f>+IF(Tableau1[[#This Row],[Fournisseur]]="","",IFERROR(VLOOKUP(Tableau1[[#This Row],[Fournisseur]],SuiviFrs,2,FALSE),"Vérifier la syntaxe : Fournisseur introuvable au niveau du suivi des conventions"))</f>
        <v/>
      </c>
      <c r="H420" s="7">
        <f>++IF(Tableau1[[#This Row],[Fournisseur]]="","",C420+G420-1)</f>
        <v/>
      </c>
      <c r="I420" s="8">
        <f>++IF(Tableau1[[#This Row],[Fournisseur]]="","",IF(H420-Tableau1[[#This Row],[Date Paiement Effectif]]&gt;0," ",H420-Tableau1[[#This Row],[Date Paiement Effectif]]))</f>
        <v/>
      </c>
      <c r="J420" s="9">
        <f>++IF(Tableau1[[#This Row],[Fournisseur]]="","",IF(Tableau1[[#This Row],[Date Paiement Effectif]]="","Non encore payée",IF(I420&lt;0,"Attention, paiement hors délais","OK RAS")))</f>
        <v/>
      </c>
      <c r="K420" s="31" t="n"/>
      <c r="L420" s="31" t="n"/>
      <c r="M420" s="31" t="n"/>
    </row>
    <row r="421" ht="14.25" customHeight="1">
      <c r="B421" s="55" t="n"/>
      <c r="C421" s="25" t="n"/>
      <c r="D421" s="25" t="n"/>
      <c r="E421" s="46" t="n"/>
      <c r="F421" s="67" t="n"/>
      <c r="G421" s="2">
        <f>+IF(Tableau1[[#This Row],[Fournisseur]]="","",IFERROR(VLOOKUP(Tableau1[[#This Row],[Fournisseur]],SuiviFrs,2,FALSE),"Vérifier la syntaxe : Fournisseur introuvable au niveau du suivi des conventions"))</f>
        <v/>
      </c>
      <c r="H421" s="7">
        <f>++IF(Tableau1[[#This Row],[Fournisseur]]="","",C421+G421-1)</f>
        <v/>
      </c>
      <c r="I421" s="8">
        <f>++IF(Tableau1[[#This Row],[Fournisseur]]="","",IF(H421-Tableau1[[#This Row],[Date Paiement Effectif]]&gt;0," ",H421-Tableau1[[#This Row],[Date Paiement Effectif]]))</f>
        <v/>
      </c>
      <c r="J421" s="9">
        <f>++IF(Tableau1[[#This Row],[Fournisseur]]="","",IF(Tableau1[[#This Row],[Date Paiement Effectif]]="","Non encore payée",IF(I421&lt;0,"Attention, paiement hors délais","OK RAS")))</f>
        <v/>
      </c>
      <c r="K421" s="31" t="n"/>
      <c r="L421" s="31" t="n"/>
      <c r="M421" s="31" t="n"/>
    </row>
    <row r="422" ht="14.25" customHeight="1">
      <c r="B422" s="55" t="n"/>
      <c r="C422" s="25" t="n"/>
      <c r="D422" s="25" t="n"/>
      <c r="E422" s="46" t="n"/>
      <c r="F422" s="67" t="n"/>
      <c r="G422" s="2">
        <f>+IF(Tableau1[[#This Row],[Fournisseur]]="","",IFERROR(VLOOKUP(Tableau1[[#This Row],[Fournisseur]],SuiviFrs,2,FALSE),"Vérifier la syntaxe : Fournisseur introuvable au niveau du suivi des conventions"))</f>
        <v/>
      </c>
      <c r="H422" s="7">
        <f>++IF(Tableau1[[#This Row],[Fournisseur]]="","",C422+G422-1)</f>
        <v/>
      </c>
      <c r="I422" s="8">
        <f>++IF(Tableau1[[#This Row],[Fournisseur]]="","",IF(H422-Tableau1[[#This Row],[Date Paiement Effectif]]&gt;0," ",H422-Tableau1[[#This Row],[Date Paiement Effectif]]))</f>
        <v/>
      </c>
      <c r="J422" s="9">
        <f>++IF(Tableau1[[#This Row],[Fournisseur]]="","",IF(Tableau1[[#This Row],[Date Paiement Effectif]]="","Non encore payée",IF(I422&lt;0,"Attention, paiement hors délais","OK RAS")))</f>
        <v/>
      </c>
      <c r="K422" s="31" t="n"/>
      <c r="L422" s="31" t="n"/>
      <c r="M422" s="31" t="n"/>
    </row>
    <row r="423" ht="14.25" customHeight="1">
      <c r="B423" s="55" t="n"/>
      <c r="C423" s="25" t="n"/>
      <c r="D423" s="25" t="n"/>
      <c r="E423" s="46" t="n"/>
      <c r="F423" s="67" t="n"/>
      <c r="G423" s="2">
        <f>+IF(Tableau1[[#This Row],[Fournisseur]]="","",IFERROR(VLOOKUP(Tableau1[[#This Row],[Fournisseur]],SuiviFrs,2,FALSE),"Vérifier la syntaxe : Fournisseur introuvable au niveau du suivi des conventions"))</f>
        <v/>
      </c>
      <c r="H423" s="7">
        <f>++IF(Tableau1[[#This Row],[Fournisseur]]="","",C423+G423-1)</f>
        <v/>
      </c>
      <c r="I423" s="8">
        <f>++IF(Tableau1[[#This Row],[Fournisseur]]="","",IF(H423-Tableau1[[#This Row],[Date Paiement Effectif]]&gt;0," ",H423-Tableau1[[#This Row],[Date Paiement Effectif]]))</f>
        <v/>
      </c>
      <c r="J423" s="9">
        <f>++IF(Tableau1[[#This Row],[Fournisseur]]="","",IF(Tableau1[[#This Row],[Date Paiement Effectif]]="","Non encore payée",IF(I423&lt;0,"Attention, paiement hors délais","OK RAS")))</f>
        <v/>
      </c>
      <c r="K423" s="31" t="n"/>
      <c r="L423" s="31" t="n"/>
      <c r="M423" s="31" t="n"/>
    </row>
    <row r="424" ht="14.25" customHeight="1">
      <c r="B424" s="59" t="n"/>
      <c r="C424" s="25" t="n"/>
      <c r="D424" s="25" t="n"/>
      <c r="E424" s="46" t="n"/>
      <c r="F424" s="67" t="n"/>
      <c r="G424" s="2">
        <f>+IF(Tableau1[[#This Row],[Fournisseur]]="","",IFERROR(VLOOKUP(Tableau1[[#This Row],[Fournisseur]],SuiviFrs,2,FALSE),"Vérifier la syntaxe : Fournisseur introuvable au niveau du suivi des conventions"))</f>
        <v/>
      </c>
      <c r="H424" s="7">
        <f>++IF(Tableau1[[#This Row],[Fournisseur]]="","",C424+G424-1)</f>
        <v/>
      </c>
      <c r="I424" s="8">
        <f>++IF(Tableau1[[#This Row],[Fournisseur]]="","",IF(H424-Tableau1[[#This Row],[Date Paiement Effectif]]&gt;0," ",H424-Tableau1[[#This Row],[Date Paiement Effectif]]))</f>
        <v/>
      </c>
      <c r="J424" s="9">
        <f>++IF(Tableau1[[#This Row],[Fournisseur]]="","",IF(Tableau1[[#This Row],[Date Paiement Effectif]]="","Non encore payée",IF(I424&lt;0,"Attention, paiement hors délais","OK RAS")))</f>
        <v/>
      </c>
      <c r="K424" s="31" t="n"/>
      <c r="L424" s="31" t="n"/>
      <c r="M424" s="31" t="n"/>
    </row>
    <row r="425" ht="14.25" customHeight="1">
      <c r="B425" s="59" t="n"/>
      <c r="C425" s="25" t="n"/>
      <c r="D425" s="25" t="n"/>
      <c r="E425" s="26" t="n"/>
      <c r="F425" s="67" t="n"/>
      <c r="G425" s="2">
        <f>+IF(Tableau1[[#This Row],[Fournisseur]]="","",IFERROR(VLOOKUP(Tableau1[[#This Row],[Fournisseur]],SuiviFrs,2,FALSE),"Vérifier la syntaxe : Fournisseur introuvable au niveau du suivi des conventions"))</f>
        <v/>
      </c>
      <c r="H425" s="7">
        <f>++IF(Tableau1[[#This Row],[Fournisseur]]="","",C425+G425-1)</f>
        <v/>
      </c>
      <c r="I425" s="8">
        <f>++IF(Tableau1[[#This Row],[Fournisseur]]="","",IF(H425-Tableau1[[#This Row],[Date Paiement Effectif]]&gt;0," ",H425-Tableau1[[#This Row],[Date Paiement Effectif]]))</f>
        <v/>
      </c>
      <c r="J425" s="9">
        <f>++IF(Tableau1[[#This Row],[Fournisseur]]="","",IF(Tableau1[[#This Row],[Date Paiement Effectif]]="","Non encore payée",IF(I425&lt;0,"Attention, paiement hors délais","OK RAS")))</f>
        <v/>
      </c>
      <c r="K425" s="31" t="n"/>
      <c r="L425" s="31" t="n"/>
      <c r="M425" s="31" t="n"/>
    </row>
    <row r="426" ht="14.25" customHeight="1">
      <c r="B426" s="55" t="n"/>
      <c r="C426" s="25" t="n"/>
      <c r="D426" s="25" t="n"/>
      <c r="E426" s="46" t="n"/>
      <c r="F426" s="67" t="n"/>
      <c r="G426" s="2">
        <f>+IF(Tableau1[[#This Row],[Fournisseur]]="","",IFERROR(VLOOKUP(Tableau1[[#This Row],[Fournisseur]],SuiviFrs,2,FALSE),"Vérifier la syntaxe : Fournisseur introuvable au niveau du suivi des conventions"))</f>
        <v/>
      </c>
      <c r="H426" s="7">
        <f>++IF(Tableau1[[#This Row],[Fournisseur]]="","",C426+G426-1)</f>
        <v/>
      </c>
      <c r="I426" s="8">
        <f>++IF(Tableau1[[#This Row],[Fournisseur]]="","",IF(H426-Tableau1[[#This Row],[Date Paiement Effectif]]&gt;0," ",H426-Tableau1[[#This Row],[Date Paiement Effectif]]))</f>
        <v/>
      </c>
      <c r="J426" s="9">
        <f>++IF(Tableau1[[#This Row],[Fournisseur]]="","",IF(Tableau1[[#This Row],[Date Paiement Effectif]]="","Non encore payée",IF(I426&lt;0,"Attention, paiement hors délais","OK RAS")))</f>
        <v/>
      </c>
      <c r="K426" s="54" t="n">
        <v>46079</v>
      </c>
      <c r="L426" s="54" t="n"/>
      <c r="M426" s="31" t="n"/>
    </row>
    <row r="427" ht="14.25" customHeight="1">
      <c r="B427" s="55" t="n"/>
      <c r="C427" s="25" t="n"/>
      <c r="D427" s="25" t="n"/>
      <c r="E427" s="26" t="n"/>
      <c r="F427" s="67" t="n"/>
      <c r="G427" s="2">
        <f>+IF(Tableau1[[#This Row],[Fournisseur]]="","",IFERROR(VLOOKUP(Tableau1[[#This Row],[Fournisseur]],SuiviFrs,2,FALSE),"Vérifier la syntaxe : Fournisseur introuvable au niveau du suivi des conventions"))</f>
        <v/>
      </c>
      <c r="H427" s="7">
        <f>++IF(Tableau1[[#This Row],[Fournisseur]]="","",C427+G427-1)</f>
        <v/>
      </c>
      <c r="I427" s="8">
        <f>++IF(Tableau1[[#This Row],[Fournisseur]]="","",IF(H427-Tableau1[[#This Row],[Date Paiement Effectif]]&gt;0," ",H427-Tableau1[[#This Row],[Date Paiement Effectif]]))</f>
        <v/>
      </c>
      <c r="J427" s="9">
        <f>++IF(Tableau1[[#This Row],[Fournisseur]]="","",IF(Tableau1[[#This Row],[Date Paiement Effectif]]="","Non encore payée",IF(I427&lt;0,"Attention, paiement hors délais","OK RAS")))</f>
        <v/>
      </c>
      <c r="K427" s="54" t="n">
        <v>46109</v>
      </c>
      <c r="L427" s="54" t="n"/>
      <c r="M427" s="31" t="n"/>
    </row>
    <row r="428" ht="14.25" customHeight="1">
      <c r="B428" s="55" t="n"/>
      <c r="C428" s="25" t="n"/>
      <c r="D428" s="25" t="n"/>
      <c r="E428" s="26" t="n"/>
      <c r="F428" s="67" t="n"/>
      <c r="G428" s="2">
        <f>+IF(Tableau1[[#This Row],[Fournisseur]]="","",IFERROR(VLOOKUP(Tableau1[[#This Row],[Fournisseur]],SuiviFrs,2,FALSE),"Vérifier la syntaxe : Fournisseur introuvable au niveau du suivi des conventions"))</f>
        <v/>
      </c>
      <c r="H428" s="7">
        <f>++IF(Tableau1[[#This Row],[Fournisseur]]="","",C428+G428-1)</f>
        <v/>
      </c>
      <c r="I428" s="8">
        <f>++IF(Tableau1[[#This Row],[Fournisseur]]="","",IF(H428-Tableau1[[#This Row],[Date Paiement Effectif]]&gt;0," ",H428-Tableau1[[#This Row],[Date Paiement Effectif]]))</f>
        <v/>
      </c>
      <c r="J428" s="9">
        <f>++IF(Tableau1[[#This Row],[Fournisseur]]="","",IF(Tableau1[[#This Row],[Date Paiement Effectif]]="","Non encore payée",IF(I428&lt;0,"Attention, paiement hors délais","OK RAS")))</f>
        <v/>
      </c>
      <c r="K428" s="31" t="n"/>
      <c r="L428" s="31" t="n"/>
      <c r="M428" s="31" t="n"/>
    </row>
    <row r="429" ht="14.25" customHeight="1">
      <c r="B429" s="59" t="n"/>
      <c r="C429" s="25" t="n"/>
      <c r="D429" s="25" t="n"/>
      <c r="E429" s="46" t="n"/>
      <c r="F429" s="67" t="n"/>
      <c r="G429" s="2">
        <f>+IF(Tableau1[[#This Row],[Fournisseur]]="","",IFERROR(VLOOKUP(Tableau1[[#This Row],[Fournisseur]],SuiviFrs,2,FALSE),"Vérifier la syntaxe : Fournisseur introuvable au niveau du suivi des conventions"))</f>
        <v/>
      </c>
      <c r="H429" s="7">
        <f>++IF(Tableau1[[#This Row],[Fournisseur]]="","",C429+G429-1)</f>
        <v/>
      </c>
      <c r="I429" s="8">
        <f>++IF(Tableau1[[#This Row],[Fournisseur]]="","",IF(H429-Tableau1[[#This Row],[Date Paiement Effectif]]&gt;0," ",H429-Tableau1[[#This Row],[Date Paiement Effectif]]))</f>
        <v/>
      </c>
      <c r="J429" s="9">
        <f>++IF(Tableau1[[#This Row],[Fournisseur]]="","",IF(Tableau1[[#This Row],[Date Paiement Effectif]]="","Non encore payée",IF(I429&lt;0,"Attention, paiement hors délais","OK RAS")))</f>
        <v/>
      </c>
      <c r="K429" s="54" t="n">
        <v>46120</v>
      </c>
      <c r="L429" s="54" t="n"/>
      <c r="M429" s="31" t="n"/>
    </row>
    <row r="430" ht="14.25" customHeight="1">
      <c r="B430" s="59" t="n"/>
      <c r="C430" s="25" t="n"/>
      <c r="D430" s="25" t="n"/>
      <c r="E430" s="46" t="n"/>
      <c r="F430" s="67" t="n"/>
      <c r="G430" s="2">
        <f>+IF(Tableau1[[#This Row],[Fournisseur]]="","",IFERROR(VLOOKUP(Tableau1[[#This Row],[Fournisseur]],SuiviFrs,2,FALSE),"Vérifier la syntaxe : Fournisseur introuvable au niveau du suivi des conventions"))</f>
        <v/>
      </c>
      <c r="H430" s="7">
        <f>++IF(Tableau1[[#This Row],[Fournisseur]]="","",C430+G430-1)</f>
        <v/>
      </c>
      <c r="I430" s="8">
        <f>++IF(Tableau1[[#This Row],[Fournisseur]]="","",IF(H430-Tableau1[[#This Row],[Date Paiement Effectif]]&gt;0," ",H430-Tableau1[[#This Row],[Date Paiement Effectif]]))</f>
        <v/>
      </c>
      <c r="J430" s="9">
        <f>++IF(Tableau1[[#This Row],[Fournisseur]]="","",IF(Tableau1[[#This Row],[Date Paiement Effectif]]="","Non encore payée",IF(I430&lt;0,"Attention, paiement hors délais","OK RAS")))</f>
        <v/>
      </c>
      <c r="K430" s="54" t="n">
        <v>46120</v>
      </c>
      <c r="L430" s="54" t="n"/>
      <c r="M430" s="31" t="n"/>
    </row>
    <row r="431" ht="14.25" customHeight="1">
      <c r="B431" s="55" t="n"/>
      <c r="C431" s="25" t="n"/>
      <c r="D431" s="25" t="n"/>
      <c r="E431" s="46" t="n"/>
      <c r="F431" s="67" t="n"/>
      <c r="G431" s="2">
        <f>+IF(Tableau1[[#This Row],[Fournisseur]]="","",IFERROR(VLOOKUP(Tableau1[[#This Row],[Fournisseur]],SuiviFrs,2,FALSE),"Vérifier la syntaxe : Fournisseur introuvable au niveau du suivi des conventions"))</f>
        <v/>
      </c>
      <c r="H431" s="7">
        <f>++IF(Tableau1[[#This Row],[Fournisseur]]="","",C431+G431-1)</f>
        <v/>
      </c>
      <c r="I431" s="8">
        <f>++IF(Tableau1[[#This Row],[Fournisseur]]="","",IF(H431-Tableau1[[#This Row],[Date Paiement Effectif]]&gt;0," ",H431-Tableau1[[#This Row],[Date Paiement Effectif]]))</f>
        <v/>
      </c>
      <c r="J431" s="9">
        <f>++IF(Tableau1[[#This Row],[Fournisseur]]="","",IF(Tableau1[[#This Row],[Date Paiement Effectif]]="","Non encore payée",IF(I431&lt;0,"Attention, paiement hors délais","OK RAS")))</f>
        <v/>
      </c>
      <c r="K431" s="31" t="n"/>
      <c r="L431" s="31" t="n"/>
      <c r="M431" s="31" t="n"/>
    </row>
    <row r="432" ht="14.25" customHeight="1">
      <c r="B432" s="55" t="n"/>
      <c r="C432" s="25" t="n"/>
      <c r="D432" s="25" t="n"/>
      <c r="E432" s="26" t="n"/>
      <c r="F432" s="67" t="n"/>
      <c r="G432" s="2">
        <f>+IF(Tableau1[[#This Row],[Fournisseur]]="","",IFERROR(VLOOKUP(Tableau1[[#This Row],[Fournisseur]],SuiviFrs,2,FALSE),"Vérifier la syntaxe : Fournisseur introuvable au niveau du suivi des conventions"))</f>
        <v/>
      </c>
      <c r="H432" s="7">
        <f>++IF(Tableau1[[#This Row],[Fournisseur]]="","",C432+G432-1)</f>
        <v/>
      </c>
      <c r="I432" s="8">
        <f>++IF(Tableau1[[#This Row],[Fournisseur]]="","",IF(H432-Tableau1[[#This Row],[Date Paiement Effectif]]&gt;0," ",H432-Tableau1[[#This Row],[Date Paiement Effectif]]))</f>
        <v/>
      </c>
      <c r="J432" s="9">
        <f>++IF(Tableau1[[#This Row],[Fournisseur]]="","",IF(Tableau1[[#This Row],[Date Paiement Effectif]]="","Non encore payée",IF(I432&lt;0,"Attention, paiement hors délais","OK RAS")))</f>
        <v/>
      </c>
      <c r="K432" s="31" t="n"/>
      <c r="L432" s="31" t="n"/>
      <c r="M432" s="31" t="n"/>
    </row>
    <row r="433" ht="14.25" customHeight="1">
      <c r="B433" s="24" t="n"/>
      <c r="C433" s="25" t="n"/>
      <c r="D433" s="25" t="n"/>
      <c r="E433" s="46" t="n"/>
      <c r="F433" s="67" t="n"/>
      <c r="G433" s="2">
        <f>+IF(Tableau1[[#This Row],[Fournisseur]]="","",IFERROR(VLOOKUP(Tableau1[[#This Row],[Fournisseur]],SuiviFrs,2,FALSE),"Vérifier la syntaxe : Fournisseur introuvable au niveau du suivi des conventions"))</f>
        <v/>
      </c>
      <c r="H433" s="7">
        <f>++IF(Tableau1[[#This Row],[Fournisseur]]="","",C433+G433-1)</f>
        <v/>
      </c>
      <c r="I433" s="8">
        <f>++IF(Tableau1[[#This Row],[Fournisseur]]="","",IF(H433-Tableau1[[#This Row],[Date Paiement Effectif]]&gt;0," ",H433-Tableau1[[#This Row],[Date Paiement Effectif]]))</f>
        <v/>
      </c>
      <c r="J433" s="9">
        <f>++IF(Tableau1[[#This Row],[Fournisseur]]="","",IF(Tableau1[[#This Row],[Date Paiement Effectif]]="","Non encore payée",IF(I433&lt;0,"Attention, paiement hors délais","OK RAS")))</f>
        <v/>
      </c>
      <c r="K433" s="31" t="n"/>
      <c r="L433" s="31" t="n"/>
      <c r="M433" s="31" t="n"/>
    </row>
    <row r="434" ht="14.25" customHeight="1">
      <c r="B434" s="79" t="n"/>
      <c r="C434" s="27" t="n"/>
      <c r="D434" s="27" t="n"/>
      <c r="E434" s="46" t="n"/>
      <c r="F434" s="67" t="n"/>
      <c r="G434" s="2">
        <f>+IF(Tableau1[[#This Row],[Fournisseur]]="","",IFERROR(VLOOKUP(Tableau1[[#This Row],[Fournisseur]],SuiviFrs,2,FALSE),"Vérifier la syntaxe : Fournisseur introuvable au niveau du suivi des conventions"))</f>
        <v/>
      </c>
      <c r="H434" s="7">
        <f>++IF(Tableau1[[#This Row],[Fournisseur]]="","",C434+G434-1)</f>
        <v/>
      </c>
      <c r="I434" s="8">
        <f>++IF(Tableau1[[#This Row],[Fournisseur]]="","",IF(H434-Tableau1[[#This Row],[Date Paiement Effectif]]&gt;0," ",H434-Tableau1[[#This Row],[Date Paiement Effectif]]))</f>
        <v/>
      </c>
      <c r="J434" s="9">
        <f>++IF(Tableau1[[#This Row],[Fournisseur]]="","",IF(Tableau1[[#This Row],[Date Paiement Effectif]]="","Non encore payée",IF(I434&lt;0,"Attention, paiement hors délais","OK RAS")))</f>
        <v/>
      </c>
      <c r="K434" s="31" t="n"/>
      <c r="L434" s="31" t="n"/>
      <c r="M434" s="31" t="n"/>
    </row>
    <row r="435" ht="14.25" customHeight="1">
      <c r="B435" s="79" t="n"/>
      <c r="C435" s="27" t="n"/>
      <c r="D435" s="27" t="n"/>
      <c r="E435" s="46" t="n"/>
      <c r="F435" s="69" t="n"/>
      <c r="G435" s="2">
        <f>+IF(Tableau1[[#This Row],[Fournisseur]]="","",IFERROR(VLOOKUP(Tableau1[[#This Row],[Fournisseur]],SuiviFrs,2,FALSE),"Vérifier la syntaxe : Fournisseur introuvable au niveau du suivi des conventions"))</f>
        <v/>
      </c>
      <c r="H435" s="7">
        <f>++IF(Tableau1[[#This Row],[Fournisseur]]="","",C435+G435-1)</f>
        <v/>
      </c>
      <c r="I435" s="8">
        <f>++IF(Tableau1[[#This Row],[Fournisseur]]="","",IF(H435-Tableau1[[#This Row],[Date Paiement Effectif]]&gt;0," ",H435-Tableau1[[#This Row],[Date Paiement Effectif]]))</f>
        <v/>
      </c>
      <c r="J435" s="9">
        <f>++IF(Tableau1[[#This Row],[Fournisseur]]="","",IF(Tableau1[[#This Row],[Date Paiement Effectif]]="","Non encore payée",IF(I435&lt;0,"Attention, paiement hors délais","OK RAS")))</f>
        <v/>
      </c>
      <c r="K435" s="31" t="n"/>
      <c r="L435" s="31" t="n"/>
      <c r="M435" s="31" t="n"/>
    </row>
    <row r="436" ht="14.25" customHeight="1">
      <c r="B436" s="24" t="n"/>
      <c r="C436" s="25" t="n"/>
      <c r="D436" s="25" t="n"/>
      <c r="E436" s="46" t="n"/>
      <c r="F436" s="26" t="n"/>
      <c r="G436" s="2">
        <f>+IF(Tableau1[[#This Row],[Fournisseur]]="","",IFERROR(VLOOKUP(Tableau1[[#This Row],[Fournisseur]],SuiviFrs,2,FALSE),"Vérifier la syntaxe : Fournisseur introuvable au niveau du suivi des conventions"))</f>
        <v/>
      </c>
      <c r="H436" s="7">
        <f>++IF(Tableau1[[#This Row],[Fournisseur]]="","",C436+G436-1)</f>
        <v/>
      </c>
      <c r="I436" s="8">
        <f>++IF(Tableau1[[#This Row],[Fournisseur]]="","",IF(H436-Tableau1[[#This Row],[Date Paiement Effectif]]&gt;0," ",H436-Tableau1[[#This Row],[Date Paiement Effectif]]))</f>
        <v/>
      </c>
      <c r="J436" s="9">
        <f>++IF(Tableau1[[#This Row],[Fournisseur]]="","",IF(Tableau1[[#This Row],[Date Paiement Effectif]]="","Non encore payée",IF(I436&lt;0,"Attention, paiement hors délais","OK RAS")))</f>
        <v/>
      </c>
      <c r="K436" s="54" t="n">
        <v>46136</v>
      </c>
      <c r="L436" s="54" t="n"/>
      <c r="M436" s="31" t="n"/>
    </row>
    <row r="437" ht="14.25" customHeight="1">
      <c r="B437" s="24" t="n"/>
      <c r="C437" s="25" t="n"/>
      <c r="D437" s="25" t="n"/>
      <c r="E437" s="46" t="n"/>
      <c r="F437" s="26" t="n"/>
      <c r="G437" s="2">
        <f>+IF(Tableau1[[#This Row],[Fournisseur]]="","",IFERROR(VLOOKUP(Tableau1[[#This Row],[Fournisseur]],SuiviFrs,2,FALSE),"Vérifier la syntaxe : Fournisseur introuvable au niveau du suivi des conventions"))</f>
        <v/>
      </c>
      <c r="H437" s="7">
        <f>++IF(Tableau1[[#This Row],[Fournisseur]]="","",C437+G437-1)</f>
        <v/>
      </c>
      <c r="I437" s="8">
        <f>++IF(Tableau1[[#This Row],[Fournisseur]]="","",IF(H437-Tableau1[[#This Row],[Date Paiement Effectif]]&gt;0," ",H437-Tableau1[[#This Row],[Date Paiement Effectif]]))</f>
        <v/>
      </c>
      <c r="J437" s="9">
        <f>++IF(Tableau1[[#This Row],[Fournisseur]]="","",IF(Tableau1[[#This Row],[Date Paiement Effectif]]="","Non encore payée",IF(I437&lt;0,"Attention, paiement hors délais","OK RAS")))</f>
        <v/>
      </c>
      <c r="K437" s="54" t="n">
        <v>46136</v>
      </c>
      <c r="L437" s="54" t="n"/>
      <c r="M437" s="31" t="n"/>
    </row>
    <row r="438" ht="14.25" customHeight="1">
      <c r="B438" s="24" t="n"/>
      <c r="C438" s="25" t="n"/>
      <c r="D438" s="25" t="n"/>
      <c r="E438" s="46" t="n"/>
      <c r="F438" s="26" t="n"/>
      <c r="G438" s="2">
        <f>+IF(Tableau1[[#This Row],[Fournisseur]]="","",IFERROR(VLOOKUP(Tableau1[[#This Row],[Fournisseur]],SuiviFrs,2,FALSE),"Vérifier la syntaxe : Fournisseur introuvable au niveau du suivi des conventions"))</f>
        <v/>
      </c>
      <c r="H438" s="7">
        <f>++IF(Tableau1[[#This Row],[Fournisseur]]="","",C438+G438-1)</f>
        <v/>
      </c>
      <c r="I438" s="8">
        <f>++IF(Tableau1[[#This Row],[Fournisseur]]="","",IF(H438-Tableau1[[#This Row],[Date Paiement Effectif]]&gt;0," ",H438-Tableau1[[#This Row],[Date Paiement Effectif]]))</f>
        <v/>
      </c>
      <c r="J438" s="9">
        <f>++IF(Tableau1[[#This Row],[Fournisseur]]="","",IF(Tableau1[[#This Row],[Date Paiement Effectif]]="","Non encore payée",IF(I438&lt;0,"Attention, paiement hors délais","OK RAS")))</f>
        <v/>
      </c>
      <c r="K438" s="54" t="n">
        <v>46136</v>
      </c>
      <c r="L438" s="54" t="n"/>
      <c r="M438" s="31" t="n"/>
    </row>
    <row r="439" ht="14.25" customHeight="1">
      <c r="B439" s="78" t="n"/>
      <c r="D439" s="77" t="n"/>
      <c r="E439" s="46" t="n"/>
      <c r="F439" s="67" t="n"/>
      <c r="G439" s="2">
        <f>+IF(Tableau1[[#This Row],[Fournisseur]]="","",IFERROR(VLOOKUP(Tableau1[[#This Row],[Fournisseur]],SuiviFrs,2,FALSE),"Vérifier la syntaxe : Fournisseur introuvable au niveau du suivi des conventions"))</f>
        <v/>
      </c>
      <c r="H439" s="7">
        <f>++IF(Tableau1[[#This Row],[Fournisseur]]="","",C439+G439-1)</f>
        <v/>
      </c>
      <c r="I439" s="8">
        <f>++IF(Tableau1[[#This Row],[Fournisseur]]="","",IF(H439-Tableau1[[#This Row],[Date Paiement Effectif]]&gt;0," ",H439-Tableau1[[#This Row],[Date Paiement Effectif]]))</f>
        <v/>
      </c>
      <c r="J439" s="9">
        <f>++IF(Tableau1[[#This Row],[Fournisseur]]="","",IF(Tableau1[[#This Row],[Date Paiement Effectif]]="","Non encore payée",IF(I439&lt;0,"Attention, paiement hors délais","OK RAS")))</f>
        <v/>
      </c>
      <c r="K439" s="54" t="n">
        <v>46112</v>
      </c>
      <c r="L439" s="54" t="n"/>
      <c r="M439" s="31" t="n"/>
    </row>
    <row r="440" ht="14.25" customHeight="1">
      <c r="B440" s="78" t="n"/>
      <c r="D440" s="77" t="n"/>
      <c r="E440" s="46" t="n"/>
      <c r="F440" s="67" t="n"/>
      <c r="G440" s="2">
        <f>+IF(Tableau1[[#This Row],[Fournisseur]]="","",IFERROR(VLOOKUP(Tableau1[[#This Row],[Fournisseur]],SuiviFrs,2,FALSE),"Vérifier la syntaxe : Fournisseur introuvable au niveau du suivi des conventions"))</f>
        <v/>
      </c>
      <c r="H440" s="7">
        <f>++IF(Tableau1[[#This Row],[Fournisseur]]="","",C440+G440-1)</f>
        <v/>
      </c>
      <c r="I440" s="8">
        <f>++IF(Tableau1[[#This Row],[Fournisseur]]="","",IF(H440-Tableau1[[#This Row],[Date Paiement Effectif]]&gt;0," ",H440-Tableau1[[#This Row],[Date Paiement Effectif]]))</f>
        <v/>
      </c>
      <c r="J440" s="9">
        <f>++IF(Tableau1[[#This Row],[Fournisseur]]="","",IF(Tableau1[[#This Row],[Date Paiement Effectif]]="","Non encore payée",IF(I440&lt;0,"Attention, paiement hors délais","OK RAS")))</f>
        <v/>
      </c>
      <c r="K440" s="54" t="n">
        <v>46112</v>
      </c>
      <c r="L440" s="54" t="n"/>
      <c r="M440" s="31" t="n"/>
    </row>
    <row r="441" ht="14.25" customHeight="1">
      <c r="B441" s="78" t="n"/>
      <c r="D441" s="77" t="n"/>
      <c r="E441" s="46" t="n"/>
      <c r="F441" s="67" t="n"/>
      <c r="G441" s="2">
        <f>+IF(Tableau1[[#This Row],[Fournisseur]]="","",IFERROR(VLOOKUP(Tableau1[[#This Row],[Fournisseur]],SuiviFrs,2,FALSE),"Vérifier la syntaxe : Fournisseur introuvable au niveau du suivi des conventions"))</f>
        <v/>
      </c>
      <c r="H441" s="7">
        <f>++IF(Tableau1[[#This Row],[Fournisseur]]="","",C441+G441-1)</f>
        <v/>
      </c>
      <c r="I441" s="8">
        <f>++IF(Tableau1[[#This Row],[Fournisseur]]="","",IF(H441-Tableau1[[#This Row],[Date Paiement Effectif]]&gt;0," ",H441-Tableau1[[#This Row],[Date Paiement Effectif]]))</f>
        <v/>
      </c>
      <c r="J441" s="9">
        <f>++IF(Tableau1[[#This Row],[Fournisseur]]="","",IF(Tableau1[[#This Row],[Date Paiement Effectif]]="","Non encore payée",IF(I441&lt;0,"Attention, paiement hors délais","OK RAS")))</f>
        <v/>
      </c>
      <c r="K441" s="54" t="n">
        <v>46112</v>
      </c>
      <c r="L441" s="54" t="n"/>
      <c r="M441" s="31" t="n"/>
    </row>
    <row r="442" ht="14.25" customHeight="1">
      <c r="B442" s="78" t="n"/>
      <c r="D442" s="77" t="n"/>
      <c r="E442" s="46" t="n"/>
      <c r="F442" s="67" t="n"/>
      <c r="G442" s="2">
        <f>+IF(Tableau1[[#This Row],[Fournisseur]]="","",IFERROR(VLOOKUP(Tableau1[[#This Row],[Fournisseur]],SuiviFrs,2,FALSE),"Vérifier la syntaxe : Fournisseur introuvable au niveau du suivi des conventions"))</f>
        <v/>
      </c>
      <c r="H442" s="7">
        <f>++IF(Tableau1[[#This Row],[Fournisseur]]="","",C442+G442-1)</f>
        <v/>
      </c>
      <c r="I442" s="8">
        <f>++IF(Tableau1[[#This Row],[Fournisseur]]="","",IF(H442-Tableau1[[#This Row],[Date Paiement Effectif]]&gt;0," ",H442-Tableau1[[#This Row],[Date Paiement Effectif]]))</f>
        <v/>
      </c>
      <c r="J442" s="9">
        <f>++IF(Tableau1[[#This Row],[Fournisseur]]="","",IF(Tableau1[[#This Row],[Date Paiement Effectif]]="","Non encore payée",IF(I442&lt;0,"Attention, paiement hors délais","OK RAS")))</f>
        <v/>
      </c>
      <c r="K442" s="31" t="n"/>
      <c r="L442" s="31" t="n"/>
      <c r="M442" s="31" t="n"/>
    </row>
    <row r="443" ht="14.25" customHeight="1">
      <c r="B443" s="78" t="n"/>
      <c r="D443" s="77" t="n"/>
      <c r="E443" s="46" t="n"/>
      <c r="F443" s="67" t="n"/>
      <c r="G443" s="2">
        <f>+IF(Tableau1[[#This Row],[Fournisseur]]="","",IFERROR(VLOOKUP(Tableau1[[#This Row],[Fournisseur]],SuiviFrs,2,FALSE),"Vérifier la syntaxe : Fournisseur introuvable au niveau du suivi des conventions"))</f>
        <v/>
      </c>
      <c r="H443" s="7">
        <f>++IF(Tableau1[[#This Row],[Fournisseur]]="","",C443+G443-1)</f>
        <v/>
      </c>
      <c r="I443" s="8">
        <f>++IF(Tableau1[[#This Row],[Fournisseur]]="","",IF(H443-Tableau1[[#This Row],[Date Paiement Effectif]]&gt;0," ",H443-Tableau1[[#This Row],[Date Paiement Effectif]]))</f>
        <v/>
      </c>
      <c r="J443" s="9">
        <f>++IF(Tableau1[[#This Row],[Fournisseur]]="","",IF(Tableau1[[#This Row],[Date Paiement Effectif]]="","Non encore payée",IF(I443&lt;0,"Attention, paiement hors délais","OK RAS")))</f>
        <v/>
      </c>
      <c r="K443" s="54" t="n">
        <v>46055</v>
      </c>
      <c r="L443" s="54" t="n"/>
      <c r="M443" s="31" t="n"/>
    </row>
    <row r="444" ht="14.25" customHeight="1">
      <c r="B444" s="78" t="n"/>
      <c r="D444" s="77" t="n"/>
      <c r="E444" s="46" t="n"/>
      <c r="F444" s="67" t="n"/>
      <c r="G444" s="2">
        <f>+IF(Tableau1[[#This Row],[Fournisseur]]="","",IFERROR(VLOOKUP(Tableau1[[#This Row],[Fournisseur]],SuiviFrs,2,FALSE),"Vérifier la syntaxe : Fournisseur introuvable au niveau du suivi des conventions"))</f>
        <v/>
      </c>
      <c r="H444" s="7">
        <f>++IF(Tableau1[[#This Row],[Fournisseur]]="","",C444+G444-1)</f>
        <v/>
      </c>
      <c r="I444" s="8">
        <f>++IF(Tableau1[[#This Row],[Fournisseur]]="","",IF(H444-Tableau1[[#This Row],[Date Paiement Effectif]]&gt;0," ",H444-Tableau1[[#This Row],[Date Paiement Effectif]]))</f>
        <v/>
      </c>
      <c r="J444" s="9">
        <f>++IF(Tableau1[[#This Row],[Fournisseur]]="","",IF(Tableau1[[#This Row],[Date Paiement Effectif]]="","Non encore payée",IF(I444&lt;0,"Attention, paiement hors délais","OK RAS")))</f>
        <v/>
      </c>
      <c r="K444" s="54" t="n">
        <v>46055</v>
      </c>
      <c r="L444" s="54" t="n"/>
      <c r="M444" s="31" t="n"/>
    </row>
    <row r="445" ht="14.25" customHeight="1">
      <c r="B445" s="78" t="n"/>
      <c r="D445" s="77" t="n"/>
      <c r="E445" s="46" t="n"/>
      <c r="F445" s="67" t="n"/>
      <c r="G445" s="2">
        <f>+IF(Tableau1[[#This Row],[Fournisseur]]="","",IFERROR(VLOOKUP(Tableau1[[#This Row],[Fournisseur]],SuiviFrs,2,FALSE),"Vérifier la syntaxe : Fournisseur introuvable au niveau du suivi des conventions"))</f>
        <v/>
      </c>
      <c r="H445" s="7">
        <f>++IF(Tableau1[[#This Row],[Fournisseur]]="","",C445+G445-1)</f>
        <v/>
      </c>
      <c r="I445" s="8">
        <f>++IF(Tableau1[[#This Row],[Fournisseur]]="","",IF(H445-Tableau1[[#This Row],[Date Paiement Effectif]]&gt;0," ",H445-Tableau1[[#This Row],[Date Paiement Effectif]]))</f>
        <v/>
      </c>
      <c r="J445" s="9">
        <f>++IF(Tableau1[[#This Row],[Fournisseur]]="","",IF(Tableau1[[#This Row],[Date Paiement Effectif]]="","Non encore payée",IF(I445&lt;0,"Attention, paiement hors délais","OK RAS")))</f>
        <v/>
      </c>
      <c r="K445" s="54" t="n">
        <v>46112</v>
      </c>
      <c r="L445" s="54" t="n"/>
      <c r="M445" s="31" t="n"/>
    </row>
    <row r="446" ht="14.25" customHeight="1">
      <c r="B446" s="78" t="n"/>
      <c r="D446" s="77" t="n"/>
      <c r="E446" s="46" t="n"/>
      <c r="F446" s="67" t="n"/>
      <c r="G446" s="2">
        <f>+IF(Tableau1[[#This Row],[Fournisseur]]="","",IFERROR(VLOOKUP(Tableau1[[#This Row],[Fournisseur]],SuiviFrs,2,FALSE),"Vérifier la syntaxe : Fournisseur introuvable au niveau du suivi des conventions"))</f>
        <v/>
      </c>
      <c r="H446" s="7">
        <f>++IF(Tableau1[[#This Row],[Fournisseur]]="","",C446+G446-1)</f>
        <v/>
      </c>
      <c r="I446" s="8">
        <f>++IF(Tableau1[[#This Row],[Fournisseur]]="","",IF(H446-Tableau1[[#This Row],[Date Paiement Effectif]]&gt;0," ",H446-Tableau1[[#This Row],[Date Paiement Effectif]]))</f>
        <v/>
      </c>
      <c r="J446" s="9">
        <f>++IF(Tableau1[[#This Row],[Fournisseur]]="","",IF(Tableau1[[#This Row],[Date Paiement Effectif]]="","Non encore payée",IF(I446&lt;0,"Attention, paiement hors délais","OK RAS")))</f>
        <v/>
      </c>
      <c r="K446" s="54" t="n">
        <v>46112</v>
      </c>
      <c r="L446" s="54" t="n"/>
      <c r="M446" s="31" t="n"/>
    </row>
    <row r="447" ht="14.25" customHeight="1">
      <c r="B447" s="78" t="n"/>
      <c r="D447" s="77" t="n"/>
      <c r="E447" s="46" t="n"/>
      <c r="F447" s="67" t="n"/>
      <c r="G447" s="2">
        <f>+IF(Tableau1[[#This Row],[Fournisseur]]="","",IFERROR(VLOOKUP(Tableau1[[#This Row],[Fournisseur]],SuiviFrs,2,FALSE),"Vérifier la syntaxe : Fournisseur introuvable au niveau du suivi des conventions"))</f>
        <v/>
      </c>
      <c r="H447" s="7">
        <f>++IF(Tableau1[[#This Row],[Fournisseur]]="","",C447+G447-1)</f>
        <v/>
      </c>
      <c r="I447" s="8">
        <f>++IF(Tableau1[[#This Row],[Fournisseur]]="","",IF(H447-Tableau1[[#This Row],[Date Paiement Effectif]]&gt;0," ",H447-Tableau1[[#This Row],[Date Paiement Effectif]]))</f>
        <v/>
      </c>
      <c r="J447" s="9">
        <f>++IF(Tableau1[[#This Row],[Fournisseur]]="","",IF(Tableau1[[#This Row],[Date Paiement Effectif]]="","Non encore payée",IF(I447&lt;0,"Attention, paiement hors délais","OK RAS")))</f>
        <v/>
      </c>
      <c r="K447" s="54" t="n">
        <v>46112</v>
      </c>
      <c r="L447" s="54" t="n"/>
      <c r="M447" s="31" t="n"/>
    </row>
    <row r="448" ht="14.25" customHeight="1">
      <c r="B448" s="78" t="n"/>
      <c r="D448" s="77" t="n"/>
      <c r="E448" s="46" t="n"/>
      <c r="F448" s="67" t="n"/>
      <c r="G448" s="2">
        <f>+IF(Tableau1[[#This Row],[Fournisseur]]="","",IFERROR(VLOOKUP(Tableau1[[#This Row],[Fournisseur]],SuiviFrs,2,FALSE),"Vérifier la syntaxe : Fournisseur introuvable au niveau du suivi des conventions"))</f>
        <v/>
      </c>
      <c r="H448" s="7">
        <f>++IF(Tableau1[[#This Row],[Fournisseur]]="","",C448+G448-1)</f>
        <v/>
      </c>
      <c r="I448" s="8">
        <f>++IF(Tableau1[[#This Row],[Fournisseur]]="","",IF(H448-Tableau1[[#This Row],[Date Paiement Effectif]]&gt;0," ",H448-Tableau1[[#This Row],[Date Paiement Effectif]]))</f>
        <v/>
      </c>
      <c r="J448" s="9">
        <f>++IF(Tableau1[[#This Row],[Fournisseur]]="","",IF(Tableau1[[#This Row],[Date Paiement Effectif]]="","Non encore payée",IF(I448&lt;0,"Attention, paiement hors délais","OK RAS")))</f>
        <v/>
      </c>
      <c r="K448" s="54" t="n">
        <v>46112</v>
      </c>
      <c r="L448" s="54" t="n"/>
      <c r="M448" s="31" t="n"/>
    </row>
    <row r="449" ht="14.25" customHeight="1">
      <c r="B449" s="78" t="n"/>
      <c r="D449" s="77" t="n"/>
      <c r="E449" s="46" t="n"/>
      <c r="F449" s="67" t="n"/>
      <c r="G449" s="2">
        <f>+IF(Tableau1[[#This Row],[Fournisseur]]="","",IFERROR(VLOOKUP(Tableau1[[#This Row],[Fournisseur]],SuiviFrs,2,FALSE),"Vérifier la syntaxe : Fournisseur introuvable au niveau du suivi des conventions"))</f>
        <v/>
      </c>
      <c r="H449" s="7">
        <f>++IF(Tableau1[[#This Row],[Fournisseur]]="","",C449+G449-1)</f>
        <v/>
      </c>
      <c r="I449" s="8">
        <f>++IF(Tableau1[[#This Row],[Fournisseur]]="","",IF(H449-Tableau1[[#This Row],[Date Paiement Effectif]]&gt;0," ",H449-Tableau1[[#This Row],[Date Paiement Effectif]]))</f>
        <v/>
      </c>
      <c r="J449" s="9">
        <f>++IF(Tableau1[[#This Row],[Fournisseur]]="","",IF(Tableau1[[#This Row],[Date Paiement Effectif]]="","Non encore payée",IF(I449&lt;0,"Attention, paiement hors délais","OK RAS")))</f>
        <v/>
      </c>
      <c r="K449" s="54" t="n">
        <v>46112</v>
      </c>
      <c r="L449" s="54" t="n"/>
      <c r="M449" s="31" t="n"/>
    </row>
    <row r="450" ht="14.25" customHeight="1">
      <c r="B450" s="78" t="n"/>
      <c r="D450" s="77" t="n"/>
      <c r="E450" s="46" t="n"/>
      <c r="F450" s="67" t="n"/>
      <c r="G450" s="2">
        <f>+IF(Tableau1[[#This Row],[Fournisseur]]="","",IFERROR(VLOOKUP(Tableau1[[#This Row],[Fournisseur]],SuiviFrs,2,FALSE),"Vérifier la syntaxe : Fournisseur introuvable au niveau du suivi des conventions"))</f>
        <v/>
      </c>
      <c r="H450" s="7">
        <f>++IF(Tableau1[[#This Row],[Fournisseur]]="","",C450+G450-1)</f>
        <v/>
      </c>
      <c r="I450" s="8">
        <f>++IF(Tableau1[[#This Row],[Fournisseur]]="","",IF(H450-Tableau1[[#This Row],[Date Paiement Effectif]]&gt;0," ",H450-Tableau1[[#This Row],[Date Paiement Effectif]]))</f>
        <v/>
      </c>
      <c r="J450" s="9">
        <f>++IF(Tableau1[[#This Row],[Fournisseur]]="","",IF(Tableau1[[#This Row],[Date Paiement Effectif]]="","Non encore payée",IF(I450&lt;0,"Attention, paiement hors délais","OK RAS")))</f>
        <v/>
      </c>
      <c r="K450" s="54" t="n">
        <v>46112</v>
      </c>
      <c r="L450" s="54" t="n"/>
      <c r="M450" s="31" t="n"/>
    </row>
    <row r="451" ht="14.25" customHeight="1">
      <c r="B451" s="78" t="n"/>
      <c r="D451" s="77" t="n"/>
      <c r="E451" s="46" t="n"/>
      <c r="F451" s="67" t="n"/>
      <c r="G451" s="2">
        <f>+IF(Tableau1[[#This Row],[Fournisseur]]="","",IFERROR(VLOOKUP(Tableau1[[#This Row],[Fournisseur]],SuiviFrs,2,FALSE),"Vérifier la syntaxe : Fournisseur introuvable au niveau du suivi des conventions"))</f>
        <v/>
      </c>
      <c r="H451" s="7">
        <f>++IF(Tableau1[[#This Row],[Fournisseur]]="","",C451+G451-1)</f>
        <v/>
      </c>
      <c r="I451" s="8">
        <f>++IF(Tableau1[[#This Row],[Fournisseur]]="","",IF(H451-Tableau1[[#This Row],[Date Paiement Effectif]]&gt;0," ",H451-Tableau1[[#This Row],[Date Paiement Effectif]]))</f>
        <v/>
      </c>
      <c r="J451" s="9">
        <f>++IF(Tableau1[[#This Row],[Fournisseur]]="","",IF(Tableau1[[#This Row],[Date Paiement Effectif]]="","Non encore payée",IF(I451&lt;0,"Attention, paiement hors délais","OK RAS")))</f>
        <v/>
      </c>
      <c r="K451" s="54" t="n">
        <v>46112</v>
      </c>
      <c r="L451" s="54" t="n"/>
      <c r="M451" s="31" t="n"/>
    </row>
    <row r="452" ht="14.25" customHeight="1">
      <c r="B452" s="78" t="n"/>
      <c r="D452" s="77" t="n"/>
      <c r="E452" s="46" t="n"/>
      <c r="F452" s="67" t="n"/>
      <c r="G452" s="2">
        <f>+IF(Tableau1[[#This Row],[Fournisseur]]="","",IFERROR(VLOOKUP(Tableau1[[#This Row],[Fournisseur]],SuiviFrs,2,FALSE),"Vérifier la syntaxe : Fournisseur introuvable au niveau du suivi des conventions"))</f>
        <v/>
      </c>
      <c r="H452" s="7">
        <f>++IF(Tableau1[[#This Row],[Fournisseur]]="","",C452+G452-1)</f>
        <v/>
      </c>
      <c r="I452" s="8">
        <f>++IF(Tableau1[[#This Row],[Fournisseur]]="","",IF(H452-Tableau1[[#This Row],[Date Paiement Effectif]]&gt;0," ",H452-Tableau1[[#This Row],[Date Paiement Effectif]]))</f>
        <v/>
      </c>
      <c r="J452" s="9">
        <f>++IF(Tableau1[[#This Row],[Fournisseur]]="","",IF(Tableau1[[#This Row],[Date Paiement Effectif]]="","Non encore payée",IF(I452&lt;0,"Attention, paiement hors délais","OK RAS")))</f>
        <v/>
      </c>
      <c r="K452" s="54" t="n">
        <v>46112</v>
      </c>
      <c r="L452" s="54" t="n"/>
      <c r="M452" s="31" t="n"/>
    </row>
    <row r="453" ht="14.25" customHeight="1">
      <c r="B453" s="78" t="n"/>
      <c r="D453" s="77" t="n"/>
      <c r="E453" s="46" t="n"/>
      <c r="F453" s="67" t="n"/>
      <c r="G453" s="2">
        <f>+IF(Tableau1[[#This Row],[Fournisseur]]="","",IFERROR(VLOOKUP(Tableau1[[#This Row],[Fournisseur]],SuiviFrs,2,FALSE),"Vérifier la syntaxe : Fournisseur introuvable au niveau du suivi des conventions"))</f>
        <v/>
      </c>
      <c r="H453" s="7">
        <f>++IF(Tableau1[[#This Row],[Fournisseur]]="","",C453+G453-1)</f>
        <v/>
      </c>
      <c r="I453" s="8">
        <f>++IF(Tableau1[[#This Row],[Fournisseur]]="","",IF(H453-Tableau1[[#This Row],[Date Paiement Effectif]]&gt;0," ",H453-Tableau1[[#This Row],[Date Paiement Effectif]]))</f>
        <v/>
      </c>
      <c r="J453" s="9">
        <f>++IF(Tableau1[[#This Row],[Fournisseur]]="","",IF(Tableau1[[#This Row],[Date Paiement Effectif]]="","Non encore payée",IF(I453&lt;0,"Attention, paiement hors délais","OK RAS")))</f>
        <v/>
      </c>
      <c r="K453" s="54" t="n">
        <v>46112</v>
      </c>
      <c r="L453" s="54" t="n"/>
      <c r="M453" s="31" t="n"/>
    </row>
    <row r="454" ht="14.25" customHeight="1">
      <c r="B454" s="78" t="n"/>
      <c r="D454" s="77" t="n"/>
      <c r="E454" s="46" t="n"/>
      <c r="F454" s="67" t="n"/>
      <c r="G454" s="2">
        <f>+IF(Tableau1[[#This Row],[Fournisseur]]="","",IFERROR(VLOOKUP(Tableau1[[#This Row],[Fournisseur]],SuiviFrs,2,FALSE),"Vérifier la syntaxe : Fournisseur introuvable au niveau du suivi des conventions"))</f>
        <v/>
      </c>
      <c r="H454" s="7">
        <f>++IF(Tableau1[[#This Row],[Fournisseur]]="","",C454+G454-1)</f>
        <v/>
      </c>
      <c r="I454" s="8">
        <f>++IF(Tableau1[[#This Row],[Fournisseur]]="","",IF(H454-Tableau1[[#This Row],[Date Paiement Effectif]]&gt;0," ",H454-Tableau1[[#This Row],[Date Paiement Effectif]]))</f>
        <v/>
      </c>
      <c r="J454" s="9">
        <f>++IF(Tableau1[[#This Row],[Fournisseur]]="","",IF(Tableau1[[#This Row],[Date Paiement Effectif]]="","Non encore payée",IF(I454&lt;0,"Attention, paiement hors délais","OK RAS")))</f>
        <v/>
      </c>
      <c r="K454" s="54" t="n">
        <v>46112</v>
      </c>
      <c r="L454" s="54" t="n"/>
      <c r="M454" s="31" t="n"/>
    </row>
    <row r="455" ht="14.25" customHeight="1">
      <c r="B455" s="78" t="n"/>
      <c r="D455" s="77" t="n"/>
      <c r="E455" s="46" t="n"/>
      <c r="F455" s="67" t="n"/>
      <c r="G455" s="2">
        <f>+IF(Tableau1[[#This Row],[Fournisseur]]="","",IFERROR(VLOOKUP(Tableau1[[#This Row],[Fournisseur]],SuiviFrs,2,FALSE),"Vérifier la syntaxe : Fournisseur introuvable au niveau du suivi des conventions"))</f>
        <v/>
      </c>
      <c r="H455" s="7">
        <f>++IF(Tableau1[[#This Row],[Fournisseur]]="","",C455+G455-1)</f>
        <v/>
      </c>
      <c r="I455" s="8">
        <f>++IF(Tableau1[[#This Row],[Fournisseur]]="","",IF(H455-Tableau1[[#This Row],[Date Paiement Effectif]]&gt;0," ",H455-Tableau1[[#This Row],[Date Paiement Effectif]]))</f>
        <v/>
      </c>
      <c r="J455" s="9">
        <f>++IF(Tableau1[[#This Row],[Fournisseur]]="","",IF(Tableau1[[#This Row],[Date Paiement Effectif]]="","Non encore payée",IF(I455&lt;0,"Attention, paiement hors délais","OK RAS")))</f>
        <v/>
      </c>
      <c r="K455" s="31" t="n"/>
      <c r="L455" s="31" t="n"/>
      <c r="M455" s="31" t="n"/>
    </row>
    <row r="456" ht="14.25" customHeight="1">
      <c r="B456" s="78" t="n"/>
      <c r="D456" s="77" t="n"/>
      <c r="E456" s="46" t="n"/>
      <c r="F456" s="67" t="n"/>
      <c r="G456" s="2">
        <f>+IF(Tableau1[[#This Row],[Fournisseur]]="","",IFERROR(VLOOKUP(Tableau1[[#This Row],[Fournisseur]],SuiviFrs,2,FALSE),"Vérifier la syntaxe : Fournisseur introuvable au niveau du suivi des conventions"))</f>
        <v/>
      </c>
      <c r="H456" s="7">
        <f>++IF(Tableau1[[#This Row],[Fournisseur]]="","",C456+G456-1)</f>
        <v/>
      </c>
      <c r="I456" s="8">
        <f>++IF(Tableau1[[#This Row],[Fournisseur]]="","",IF(H456-Tableau1[[#This Row],[Date Paiement Effectif]]&gt;0," ",H456-Tableau1[[#This Row],[Date Paiement Effectif]]))</f>
        <v/>
      </c>
      <c r="J456" s="9">
        <f>++IF(Tableau1[[#This Row],[Fournisseur]]="","",IF(Tableau1[[#This Row],[Date Paiement Effectif]]="","Non encore payée",IF(I456&lt;0,"Attention, paiement hors délais","OK RAS")))</f>
        <v/>
      </c>
      <c r="K456" s="54" t="n">
        <v>46055</v>
      </c>
      <c r="L456" s="54" t="n"/>
      <c r="M456" s="31" t="n"/>
    </row>
    <row r="457" ht="14.25" customHeight="1">
      <c r="B457" s="78" t="n"/>
      <c r="D457" s="77" t="n"/>
      <c r="E457" s="46" t="n"/>
      <c r="F457" s="67" t="n"/>
      <c r="G457" s="2">
        <f>+IF(Tableau1[[#This Row],[Fournisseur]]="","",IFERROR(VLOOKUP(Tableau1[[#This Row],[Fournisseur]],SuiviFrs,2,FALSE),"Vérifier la syntaxe : Fournisseur introuvable au niveau du suivi des conventions"))</f>
        <v/>
      </c>
      <c r="H457" s="7">
        <f>++IF(Tableau1[[#This Row],[Fournisseur]]="","",C457+G457-1)</f>
        <v/>
      </c>
      <c r="I457" s="8">
        <f>++IF(Tableau1[[#This Row],[Fournisseur]]="","",IF(H457-Tableau1[[#This Row],[Date Paiement Effectif]]&gt;0," ",H457-Tableau1[[#This Row],[Date Paiement Effectif]]))</f>
        <v/>
      </c>
      <c r="J457" s="9">
        <f>++IF(Tableau1[[#This Row],[Fournisseur]]="","",IF(Tableau1[[#This Row],[Date Paiement Effectif]]="","Non encore payée",IF(I457&lt;0,"Attention, paiement hors délais","OK RAS")))</f>
        <v/>
      </c>
      <c r="K457" s="54" t="n">
        <v>46055</v>
      </c>
      <c r="L457" s="54" t="n"/>
      <c r="M457" s="31" t="n"/>
    </row>
    <row r="458" ht="14.25" customHeight="1">
      <c r="B458" s="78" t="n"/>
      <c r="D458" s="77" t="n"/>
      <c r="E458" s="46" t="n"/>
      <c r="F458" s="67" t="n"/>
      <c r="G458" s="2">
        <f>+IF(Tableau1[[#This Row],[Fournisseur]]="","",IFERROR(VLOOKUP(Tableau1[[#This Row],[Fournisseur]],SuiviFrs,2,FALSE),"Vérifier la syntaxe : Fournisseur introuvable au niveau du suivi des conventions"))</f>
        <v/>
      </c>
      <c r="H458" s="7">
        <f>++IF(Tableau1[[#This Row],[Fournisseur]]="","",C458+G458-1)</f>
        <v/>
      </c>
      <c r="I458" s="8">
        <f>++IF(Tableau1[[#This Row],[Fournisseur]]="","",IF(H458-Tableau1[[#This Row],[Date Paiement Effectif]]&gt;0," ",H458-Tableau1[[#This Row],[Date Paiement Effectif]]))</f>
        <v/>
      </c>
      <c r="J458" s="9">
        <f>++IF(Tableau1[[#This Row],[Fournisseur]]="","",IF(Tableau1[[#This Row],[Date Paiement Effectif]]="","Non encore payée",IF(I458&lt;0,"Attention, paiement hors délais","OK RAS")))</f>
        <v/>
      </c>
      <c r="K458" s="54" t="n">
        <v>46055</v>
      </c>
      <c r="L458" s="54" t="n"/>
      <c r="M458" s="31" t="n"/>
    </row>
    <row r="459" ht="14.25" customHeight="1">
      <c r="B459" s="78" t="n"/>
      <c r="D459" s="77" t="n"/>
      <c r="E459" s="46" t="n"/>
      <c r="F459" s="67" t="n"/>
      <c r="G459" s="2">
        <f>+IF(Tableau1[[#This Row],[Fournisseur]]="","",IFERROR(VLOOKUP(Tableau1[[#This Row],[Fournisseur]],SuiviFrs,2,FALSE),"Vérifier la syntaxe : Fournisseur introuvable au niveau du suivi des conventions"))</f>
        <v/>
      </c>
      <c r="H459" s="7">
        <f>++IF(Tableau1[[#This Row],[Fournisseur]]="","",C459+G459-1)</f>
        <v/>
      </c>
      <c r="I459" s="8">
        <f>++IF(Tableau1[[#This Row],[Fournisseur]]="","",IF(H459-Tableau1[[#This Row],[Date Paiement Effectif]]&gt;0," ",H459-Tableau1[[#This Row],[Date Paiement Effectif]]))</f>
        <v/>
      </c>
      <c r="J459" s="9">
        <f>++IF(Tableau1[[#This Row],[Fournisseur]]="","",IF(Tableau1[[#This Row],[Date Paiement Effectif]]="","Non encore payée",IF(I459&lt;0,"Attention, paiement hors délais","OK RAS")))</f>
        <v/>
      </c>
      <c r="K459" s="31" t="n"/>
      <c r="L459" s="31" t="n"/>
      <c r="M459" s="31" t="n"/>
    </row>
    <row r="460" ht="14.25" customHeight="1">
      <c r="B460" s="78" t="n"/>
      <c r="D460" s="77" t="n"/>
      <c r="E460" s="46" t="n"/>
      <c r="F460" s="67" t="n"/>
      <c r="G460" s="2">
        <f>+IF(Tableau1[[#This Row],[Fournisseur]]="","",IFERROR(VLOOKUP(Tableau1[[#This Row],[Fournisseur]],SuiviFrs,2,FALSE),"Vérifier la syntaxe : Fournisseur introuvable au niveau du suivi des conventions"))</f>
        <v/>
      </c>
      <c r="H460" s="7">
        <f>++IF(Tableau1[[#This Row],[Fournisseur]]="","",C460+G460-1)</f>
        <v/>
      </c>
      <c r="I460" s="8">
        <f>++IF(Tableau1[[#This Row],[Fournisseur]]="","",IF(H460-Tableau1[[#This Row],[Date Paiement Effectif]]&gt;0," ",H460-Tableau1[[#This Row],[Date Paiement Effectif]]))</f>
        <v/>
      </c>
      <c r="J460" s="9">
        <f>++IF(Tableau1[[#This Row],[Fournisseur]]="","",IF(Tableau1[[#This Row],[Date Paiement Effectif]]="","Non encore payée",IF(I460&lt;0,"Attention, paiement hors délais","OK RAS")))</f>
        <v/>
      </c>
      <c r="K460" s="31" t="n"/>
      <c r="L460" s="31" t="n"/>
      <c r="M460" s="31" t="n"/>
    </row>
    <row r="461" ht="14.25" customHeight="1">
      <c r="B461" s="78" t="n"/>
      <c r="D461" s="77" t="n"/>
      <c r="E461" s="46" t="n"/>
      <c r="F461" s="67" t="n"/>
      <c r="G461" s="2">
        <f>+IF(Tableau1[[#This Row],[Fournisseur]]="","",IFERROR(VLOOKUP(Tableau1[[#This Row],[Fournisseur]],SuiviFrs,2,FALSE),"Vérifier la syntaxe : Fournisseur introuvable au niveau du suivi des conventions"))</f>
        <v/>
      </c>
      <c r="H461" s="7">
        <f>++IF(Tableau1[[#This Row],[Fournisseur]]="","",C461+G461-1)</f>
        <v/>
      </c>
      <c r="I461" s="8">
        <f>++IF(Tableau1[[#This Row],[Fournisseur]]="","",IF(H461-Tableau1[[#This Row],[Date Paiement Effectif]]&gt;0," ",H461-Tableau1[[#This Row],[Date Paiement Effectif]]))</f>
        <v/>
      </c>
      <c r="J461" s="9">
        <f>++IF(Tableau1[[#This Row],[Fournisseur]]="","",IF(Tableau1[[#This Row],[Date Paiement Effectif]]="","Non encore payée",IF(I461&lt;0,"Attention, paiement hors délais","OK RAS")))</f>
        <v/>
      </c>
      <c r="K461" s="31" t="n"/>
      <c r="L461" s="31" t="n"/>
      <c r="M461" s="31" t="n"/>
    </row>
    <row r="462" ht="14.25" customHeight="1">
      <c r="B462" s="78" t="n"/>
      <c r="D462" s="77" t="n"/>
      <c r="E462" s="46" t="n"/>
      <c r="F462" s="67" t="n"/>
      <c r="G462" s="2">
        <f>+IF(Tableau1[[#This Row],[Fournisseur]]="","",IFERROR(VLOOKUP(Tableau1[[#This Row],[Fournisseur]],SuiviFrs,2,FALSE),"Vérifier la syntaxe : Fournisseur introuvable au niveau du suivi des conventions"))</f>
        <v/>
      </c>
      <c r="H462" s="7">
        <f>++IF(Tableau1[[#This Row],[Fournisseur]]="","",C462+G462-1)</f>
        <v/>
      </c>
      <c r="I462" s="8">
        <f>++IF(Tableau1[[#This Row],[Fournisseur]]="","",IF(H462-Tableau1[[#This Row],[Date Paiement Effectif]]&gt;0," ",H462-Tableau1[[#This Row],[Date Paiement Effectif]]))</f>
        <v/>
      </c>
      <c r="J462" s="9">
        <f>++IF(Tableau1[[#This Row],[Fournisseur]]="","",IF(Tableau1[[#This Row],[Date Paiement Effectif]]="","Non encore payée",IF(I462&lt;0,"Attention, paiement hors délais","OK RAS")))</f>
        <v/>
      </c>
      <c r="K462" s="31" t="n"/>
      <c r="L462" s="31" t="n"/>
      <c r="M462" s="31" t="n"/>
    </row>
    <row r="463" ht="14.25" customHeight="1">
      <c r="B463" s="78" t="n"/>
      <c r="D463" s="77" t="n"/>
      <c r="E463" s="46" t="n"/>
      <c r="F463" s="67" t="n"/>
      <c r="G463" s="2">
        <f>+IF(Tableau1[[#This Row],[Fournisseur]]="","",IFERROR(VLOOKUP(Tableau1[[#This Row],[Fournisseur]],SuiviFrs,2,FALSE),"Vérifier la syntaxe : Fournisseur introuvable au niveau du suivi des conventions"))</f>
        <v/>
      </c>
      <c r="H463" s="7">
        <f>++IF(Tableau1[[#This Row],[Fournisseur]]="","",C463+G463-1)</f>
        <v/>
      </c>
      <c r="I463" s="8">
        <f>++IF(Tableau1[[#This Row],[Fournisseur]]="","",IF(H463-Tableau1[[#This Row],[Date Paiement Effectif]]&gt;0," ",H463-Tableau1[[#This Row],[Date Paiement Effectif]]))</f>
        <v/>
      </c>
      <c r="J463" s="9">
        <f>++IF(Tableau1[[#This Row],[Fournisseur]]="","",IF(Tableau1[[#This Row],[Date Paiement Effectif]]="","Non encore payée",IF(I463&lt;0,"Attention, paiement hors délais","OK RAS")))</f>
        <v/>
      </c>
      <c r="K463" s="31" t="n"/>
      <c r="L463" s="31" t="n"/>
      <c r="M463" s="31" t="n"/>
    </row>
    <row r="464" ht="14.25" customHeight="1">
      <c r="B464" s="78" t="n"/>
      <c r="D464" s="77" t="n"/>
      <c r="E464" s="46" t="n"/>
      <c r="F464" s="67" t="n"/>
      <c r="G464" s="2">
        <f>+IF(Tableau1[[#This Row],[Fournisseur]]="","",IFERROR(VLOOKUP(Tableau1[[#This Row],[Fournisseur]],SuiviFrs,2,FALSE),"Vérifier la syntaxe : Fournisseur introuvable au niveau du suivi des conventions"))</f>
        <v/>
      </c>
      <c r="H464" s="7">
        <f>++IF(Tableau1[[#This Row],[Fournisseur]]="","",C464+G464-1)</f>
        <v/>
      </c>
      <c r="I464" s="8">
        <f>++IF(Tableau1[[#This Row],[Fournisseur]]="","",IF(H464-Tableau1[[#This Row],[Date Paiement Effectif]]&gt;0," ",H464-Tableau1[[#This Row],[Date Paiement Effectif]]))</f>
        <v/>
      </c>
      <c r="J464" s="9">
        <f>++IF(Tableau1[[#This Row],[Fournisseur]]="","",IF(Tableau1[[#This Row],[Date Paiement Effectif]]="","Non encore payée",IF(I464&lt;0,"Attention, paiement hors délais","OK RAS")))</f>
        <v/>
      </c>
      <c r="K464" s="31" t="n"/>
      <c r="L464" s="31" t="n"/>
      <c r="M464" s="31" t="n"/>
    </row>
    <row r="465" ht="14.25" customHeight="1">
      <c r="B465" s="78" t="n"/>
      <c r="D465" s="77" t="n"/>
      <c r="E465" s="46" t="n"/>
      <c r="F465" s="67" t="n"/>
      <c r="G465" s="2">
        <f>+IF(Tableau1[[#This Row],[Fournisseur]]="","",IFERROR(VLOOKUP(Tableau1[[#This Row],[Fournisseur]],SuiviFrs,2,FALSE),"Vérifier la syntaxe : Fournisseur introuvable au niveau du suivi des conventions"))</f>
        <v/>
      </c>
      <c r="H465" s="7">
        <f>++IF(Tableau1[[#This Row],[Fournisseur]]="","",C465+G465-1)</f>
        <v/>
      </c>
      <c r="I465" s="8">
        <f>++IF(Tableau1[[#This Row],[Fournisseur]]="","",IF(H465-Tableau1[[#This Row],[Date Paiement Effectif]]&gt;0," ",H465-Tableau1[[#This Row],[Date Paiement Effectif]]))</f>
        <v/>
      </c>
      <c r="J465" s="9">
        <f>++IF(Tableau1[[#This Row],[Fournisseur]]="","",IF(Tableau1[[#This Row],[Date Paiement Effectif]]="","Non encore payée",IF(I465&lt;0,"Attention, paiement hors délais","OK RAS")))</f>
        <v/>
      </c>
      <c r="K465" s="31" t="n"/>
      <c r="L465" s="31" t="n"/>
      <c r="M465" s="31" t="n"/>
    </row>
    <row r="466" ht="14.25" customHeight="1">
      <c r="B466" s="78" t="n"/>
      <c r="D466" s="77" t="n"/>
      <c r="E466" s="46" t="n"/>
      <c r="F466" s="67" t="n"/>
      <c r="G466" s="2">
        <f>+IF(Tableau1[[#This Row],[Fournisseur]]="","",IFERROR(VLOOKUP(Tableau1[[#This Row],[Fournisseur]],SuiviFrs,2,FALSE),"Vérifier la syntaxe : Fournisseur introuvable au niveau du suivi des conventions"))</f>
        <v/>
      </c>
      <c r="H466" s="7">
        <f>++IF(Tableau1[[#This Row],[Fournisseur]]="","",C466+G466-1)</f>
        <v/>
      </c>
      <c r="I466" s="8">
        <f>++IF(Tableau1[[#This Row],[Fournisseur]]="","",IF(H466-Tableau1[[#This Row],[Date Paiement Effectif]]&gt;0," ",H466-Tableau1[[#This Row],[Date Paiement Effectif]]))</f>
        <v/>
      </c>
      <c r="J466" s="9">
        <f>++IF(Tableau1[[#This Row],[Fournisseur]]="","",IF(Tableau1[[#This Row],[Date Paiement Effectif]]="","Non encore payée",IF(I466&lt;0,"Attention, paiement hors délais","OK RAS")))</f>
        <v/>
      </c>
      <c r="K466" s="31" t="n"/>
      <c r="L466" s="31" t="n"/>
      <c r="M466" s="31" t="n"/>
    </row>
    <row r="467" ht="14.25" customHeight="1">
      <c r="B467" s="78" t="n"/>
      <c r="D467" s="77" t="n"/>
      <c r="E467" s="46" t="n"/>
      <c r="F467" s="67" t="n"/>
      <c r="G467" s="2">
        <f>+IF(Tableau1[[#This Row],[Fournisseur]]="","",IFERROR(VLOOKUP(Tableau1[[#This Row],[Fournisseur]],SuiviFrs,2,FALSE),"Vérifier la syntaxe : Fournisseur introuvable au niveau du suivi des conventions"))</f>
        <v/>
      </c>
      <c r="H467" s="7">
        <f>++IF(Tableau1[[#This Row],[Fournisseur]]="","",C467+G467-1)</f>
        <v/>
      </c>
      <c r="I467" s="8">
        <f>++IF(Tableau1[[#This Row],[Fournisseur]]="","",IF(H467-Tableau1[[#This Row],[Date Paiement Effectif]]&gt;0," ",H467-Tableau1[[#This Row],[Date Paiement Effectif]]))</f>
        <v/>
      </c>
      <c r="J467" s="9">
        <f>++IF(Tableau1[[#This Row],[Fournisseur]]="","",IF(Tableau1[[#This Row],[Date Paiement Effectif]]="","Non encore payée",IF(I467&lt;0,"Attention, paiement hors délais","OK RAS")))</f>
        <v/>
      </c>
      <c r="K467" s="31" t="n"/>
      <c r="L467" s="31" t="n"/>
      <c r="M467" s="31" t="n"/>
    </row>
    <row r="468" ht="14.25" customHeight="1">
      <c r="B468" s="78" t="n"/>
      <c r="D468" s="77" t="n"/>
      <c r="E468" s="46" t="n"/>
      <c r="F468" s="67" t="n"/>
      <c r="G468" s="2">
        <f>+IF(Tableau1[[#This Row],[Fournisseur]]="","",IFERROR(VLOOKUP(Tableau1[[#This Row],[Fournisseur]],SuiviFrs,2,FALSE),"Vérifier la syntaxe : Fournisseur introuvable au niveau du suivi des conventions"))</f>
        <v/>
      </c>
      <c r="H468" s="7">
        <f>++IF(Tableau1[[#This Row],[Fournisseur]]="","",C468+G468-1)</f>
        <v/>
      </c>
      <c r="I468" s="8">
        <f>++IF(Tableau1[[#This Row],[Fournisseur]]="","",IF(H468-Tableau1[[#This Row],[Date Paiement Effectif]]&gt;0," ",H468-Tableau1[[#This Row],[Date Paiement Effectif]]))</f>
        <v/>
      </c>
      <c r="J468" s="9">
        <f>++IF(Tableau1[[#This Row],[Fournisseur]]="","",IF(Tableau1[[#This Row],[Date Paiement Effectif]]="","Non encore payée",IF(I468&lt;0,"Attention, paiement hors délais","OK RAS")))</f>
        <v/>
      </c>
      <c r="K468" s="31" t="n"/>
      <c r="L468" s="31" t="n"/>
      <c r="M468" s="31" t="n"/>
    </row>
    <row r="469" ht="14.25" customHeight="1">
      <c r="B469" s="78" t="n"/>
      <c r="D469" s="77" t="n"/>
      <c r="E469" s="46" t="n"/>
      <c r="F469" s="67" t="n"/>
      <c r="G469" s="2">
        <f>+IF(Tableau1[[#This Row],[Fournisseur]]="","",IFERROR(VLOOKUP(Tableau1[[#This Row],[Fournisseur]],SuiviFrs,2,FALSE),"Vérifier la syntaxe : Fournisseur introuvable au niveau du suivi des conventions"))</f>
        <v/>
      </c>
      <c r="H469" s="7">
        <f>++IF(Tableau1[[#This Row],[Fournisseur]]="","",C469+G469-1)</f>
        <v/>
      </c>
      <c r="I469" s="8">
        <f>++IF(Tableau1[[#This Row],[Fournisseur]]="","",IF(H469-Tableau1[[#This Row],[Date Paiement Effectif]]&gt;0," ",H469-Tableau1[[#This Row],[Date Paiement Effectif]]))</f>
        <v/>
      </c>
      <c r="J469" s="9">
        <f>++IF(Tableau1[[#This Row],[Fournisseur]]="","",IF(Tableau1[[#This Row],[Date Paiement Effectif]]="","Non encore payée",IF(I469&lt;0,"Attention, paiement hors délais","OK RAS")))</f>
        <v/>
      </c>
      <c r="K469" s="31" t="n"/>
      <c r="L469" s="31" t="n"/>
      <c r="M469" s="31" t="n"/>
    </row>
    <row r="470" ht="14.25" customHeight="1">
      <c r="B470" s="78" t="n"/>
      <c r="D470" s="77" t="n"/>
      <c r="E470" s="46" t="n"/>
      <c r="F470" s="67" t="n"/>
      <c r="G470" s="2">
        <f>+IF(Tableau1[[#This Row],[Fournisseur]]="","",IFERROR(VLOOKUP(Tableau1[[#This Row],[Fournisseur]],SuiviFrs,2,FALSE),"Vérifier la syntaxe : Fournisseur introuvable au niveau du suivi des conventions"))</f>
        <v/>
      </c>
      <c r="H470" s="7">
        <f>++IF(Tableau1[[#This Row],[Fournisseur]]="","",C470+G470-1)</f>
        <v/>
      </c>
      <c r="I470" s="8">
        <f>++IF(Tableau1[[#This Row],[Fournisseur]]="","",IF(H470-Tableau1[[#This Row],[Date Paiement Effectif]]&gt;0," ",H470-Tableau1[[#This Row],[Date Paiement Effectif]]))</f>
        <v/>
      </c>
      <c r="J470" s="9">
        <f>++IF(Tableau1[[#This Row],[Fournisseur]]="","",IF(Tableau1[[#This Row],[Date Paiement Effectif]]="","Non encore payée",IF(I470&lt;0,"Attention, paiement hors délais","OK RAS")))</f>
        <v/>
      </c>
      <c r="K470" s="31" t="n"/>
      <c r="L470" s="31" t="n"/>
      <c r="M470" s="31" t="n"/>
    </row>
    <row r="471" ht="14.25" customHeight="1">
      <c r="B471" s="78" t="n"/>
      <c r="D471" s="77" t="n"/>
      <c r="E471" s="46" t="n"/>
      <c r="F471" s="67" t="n"/>
      <c r="G471" s="2">
        <f>+IF(Tableau1[[#This Row],[Fournisseur]]="","",IFERROR(VLOOKUP(Tableau1[[#This Row],[Fournisseur]],SuiviFrs,2,FALSE),"Vérifier la syntaxe : Fournisseur introuvable au niveau du suivi des conventions"))</f>
        <v/>
      </c>
      <c r="H471" s="7">
        <f>++IF(Tableau1[[#This Row],[Fournisseur]]="","",C471+G471-1)</f>
        <v/>
      </c>
      <c r="I471" s="8">
        <f>++IF(Tableau1[[#This Row],[Fournisseur]]="","",IF(H471-Tableau1[[#This Row],[Date Paiement Effectif]]&gt;0," ",H471-Tableau1[[#This Row],[Date Paiement Effectif]]))</f>
        <v/>
      </c>
      <c r="J471" s="9">
        <f>++IF(Tableau1[[#This Row],[Fournisseur]]="","",IF(Tableau1[[#This Row],[Date Paiement Effectif]]="","Non encore payée",IF(I471&lt;0,"Attention, paiement hors délais","OK RAS")))</f>
        <v/>
      </c>
      <c r="K471" s="31" t="n"/>
      <c r="L471" s="31" t="n"/>
      <c r="M471" s="31" t="n"/>
    </row>
    <row r="472" ht="14.25" customHeight="1">
      <c r="B472" s="78" t="n"/>
      <c r="D472" s="77" t="n"/>
      <c r="E472" s="46" t="n"/>
      <c r="F472" s="67" t="n"/>
      <c r="G472" s="2">
        <f>+IF(Tableau1[[#This Row],[Fournisseur]]="","",IFERROR(VLOOKUP(Tableau1[[#This Row],[Fournisseur]],SuiviFrs,2,FALSE),"Vérifier la syntaxe : Fournisseur introuvable au niveau du suivi des conventions"))</f>
        <v/>
      </c>
      <c r="H472" s="7">
        <f>++IF(Tableau1[[#This Row],[Fournisseur]]="","",C472+G472-1)</f>
        <v/>
      </c>
      <c r="I472" s="8">
        <f>++IF(Tableau1[[#This Row],[Fournisseur]]="","",IF(H472-Tableau1[[#This Row],[Date Paiement Effectif]]&gt;0," ",H472-Tableau1[[#This Row],[Date Paiement Effectif]]))</f>
        <v/>
      </c>
      <c r="J472" s="9">
        <f>++IF(Tableau1[[#This Row],[Fournisseur]]="","",IF(Tableau1[[#This Row],[Date Paiement Effectif]]="","Non encore payée",IF(I472&lt;0,"Attention, paiement hors délais","OK RAS")))</f>
        <v/>
      </c>
      <c r="K472" s="31" t="n"/>
      <c r="L472" s="31" t="n"/>
      <c r="M472" s="31" t="n"/>
    </row>
    <row r="473" ht="14.25" customHeight="1">
      <c r="B473" s="78" t="n"/>
      <c r="D473" s="77" t="n"/>
      <c r="E473" s="46" t="n"/>
      <c r="F473" s="67" t="n"/>
      <c r="G473" s="2">
        <f>+IF(Tableau1[[#This Row],[Fournisseur]]="","",IFERROR(VLOOKUP(Tableau1[[#This Row],[Fournisseur]],SuiviFrs,2,FALSE),"Vérifier la syntaxe : Fournisseur introuvable au niveau du suivi des conventions"))</f>
        <v/>
      </c>
      <c r="H473" s="7">
        <f>++IF(Tableau1[[#This Row],[Fournisseur]]="","",C473+G473-1)</f>
        <v/>
      </c>
      <c r="I473" s="8">
        <f>++IF(Tableau1[[#This Row],[Fournisseur]]="","",IF(H473-Tableau1[[#This Row],[Date Paiement Effectif]]&gt;0," ",H473-Tableau1[[#This Row],[Date Paiement Effectif]]))</f>
        <v/>
      </c>
      <c r="J473" s="9">
        <f>++IF(Tableau1[[#This Row],[Fournisseur]]="","",IF(Tableau1[[#This Row],[Date Paiement Effectif]]="","Non encore payée",IF(I473&lt;0,"Attention, paiement hors délais","OK RAS")))</f>
        <v/>
      </c>
      <c r="K473" s="31" t="n"/>
      <c r="L473" s="31" t="n"/>
      <c r="M473" s="31" t="n"/>
    </row>
    <row r="474" ht="14.25" customHeight="1">
      <c r="B474" s="78" t="n"/>
      <c r="D474" s="77" t="n"/>
      <c r="E474" s="46" t="n"/>
      <c r="F474" s="67" t="n"/>
      <c r="G474" s="2">
        <f>+IF(Tableau1[[#This Row],[Fournisseur]]="","",IFERROR(VLOOKUP(Tableau1[[#This Row],[Fournisseur]],SuiviFrs,2,FALSE),"Vérifier la syntaxe : Fournisseur introuvable au niveau du suivi des conventions"))</f>
        <v/>
      </c>
      <c r="H474" s="7">
        <f>++IF(Tableau1[[#This Row],[Fournisseur]]="","",C474+G474-1)</f>
        <v/>
      </c>
      <c r="I474" s="8">
        <f>++IF(Tableau1[[#This Row],[Fournisseur]]="","",IF(H474-Tableau1[[#This Row],[Date Paiement Effectif]]&gt;0," ",H474-Tableau1[[#This Row],[Date Paiement Effectif]]))</f>
        <v/>
      </c>
      <c r="J474" s="9">
        <f>++IF(Tableau1[[#This Row],[Fournisseur]]="","",IF(Tableau1[[#This Row],[Date Paiement Effectif]]="","Non encore payée",IF(I474&lt;0,"Attention, paiement hors délais","OK RAS")))</f>
        <v/>
      </c>
      <c r="K474" s="54" t="n">
        <v>46048</v>
      </c>
      <c r="L474" s="54" t="n"/>
      <c r="M474" s="31" t="n"/>
    </row>
    <row r="475" ht="14.25" customHeight="1">
      <c r="B475" s="78" t="n"/>
      <c r="D475" s="77" t="n"/>
      <c r="E475" s="46" t="n"/>
      <c r="F475" s="67" t="n"/>
      <c r="G475" s="2">
        <f>+IF(Tableau1[[#This Row],[Fournisseur]]="","",IFERROR(VLOOKUP(Tableau1[[#This Row],[Fournisseur]],SuiviFrs,2,FALSE),"Vérifier la syntaxe : Fournisseur introuvable au niveau du suivi des conventions"))</f>
        <v/>
      </c>
      <c r="H475" s="7">
        <f>++IF(Tableau1[[#This Row],[Fournisseur]]="","",C475+G475-1)</f>
        <v/>
      </c>
      <c r="I475" s="8">
        <f>++IF(Tableau1[[#This Row],[Fournisseur]]="","",IF(H475-Tableau1[[#This Row],[Date Paiement Effectif]]&gt;0," ",H475-Tableau1[[#This Row],[Date Paiement Effectif]]))</f>
        <v/>
      </c>
      <c r="J475" s="9">
        <f>++IF(Tableau1[[#This Row],[Fournisseur]]="","",IF(Tableau1[[#This Row],[Date Paiement Effectif]]="","Non encore payée",IF(I475&lt;0,"Attention, paiement hors délais","OK RAS")))</f>
        <v/>
      </c>
      <c r="K475" s="54" t="n">
        <v>46048</v>
      </c>
      <c r="L475" s="54" t="n"/>
      <c r="M475" s="31" t="n"/>
    </row>
    <row r="476" ht="14.25" customHeight="1">
      <c r="B476" s="78" t="n"/>
      <c r="D476" s="77" t="n"/>
      <c r="E476" s="46" t="n"/>
      <c r="F476" s="67" t="n"/>
      <c r="G476" s="2">
        <f>+IF(Tableau1[[#This Row],[Fournisseur]]="","",IFERROR(VLOOKUP(Tableau1[[#This Row],[Fournisseur]],SuiviFrs,2,FALSE),"Vérifier la syntaxe : Fournisseur introuvable au niveau du suivi des conventions"))</f>
        <v/>
      </c>
      <c r="H476" s="7">
        <f>++IF(Tableau1[[#This Row],[Fournisseur]]="","",C476+G476-1)</f>
        <v/>
      </c>
      <c r="I476" s="8">
        <f>++IF(Tableau1[[#This Row],[Fournisseur]]="","",IF(H476-Tableau1[[#This Row],[Date Paiement Effectif]]&gt;0," ",H476-Tableau1[[#This Row],[Date Paiement Effectif]]))</f>
        <v/>
      </c>
      <c r="J476" s="9">
        <f>++IF(Tableau1[[#This Row],[Fournisseur]]="","",IF(Tableau1[[#This Row],[Date Paiement Effectif]]="","Non encore payée",IF(I476&lt;0,"Attention, paiement hors délais","OK RAS")))</f>
        <v/>
      </c>
      <c r="K476" s="54" t="n">
        <v>46048</v>
      </c>
      <c r="L476" s="54" t="n"/>
      <c r="M476" s="31" t="n"/>
    </row>
    <row r="477" ht="14.25" customHeight="1">
      <c r="B477" s="78" t="n"/>
      <c r="D477" s="77" t="n"/>
      <c r="E477" s="46" t="n"/>
      <c r="F477" s="67" t="n"/>
      <c r="G477" s="2">
        <f>+IF(Tableau1[[#This Row],[Fournisseur]]="","",IFERROR(VLOOKUP(Tableau1[[#This Row],[Fournisseur]],SuiviFrs,2,FALSE),"Vérifier la syntaxe : Fournisseur introuvable au niveau du suivi des conventions"))</f>
        <v/>
      </c>
      <c r="H477" s="7">
        <f>++IF(Tableau1[[#This Row],[Fournisseur]]="","",C477+G477-1)</f>
        <v/>
      </c>
      <c r="I477" s="8">
        <f>++IF(Tableau1[[#This Row],[Fournisseur]]="","",IF(H477-Tableau1[[#This Row],[Date Paiement Effectif]]&gt;0," ",H477-Tableau1[[#This Row],[Date Paiement Effectif]]))</f>
        <v/>
      </c>
      <c r="J477" s="9">
        <f>++IF(Tableau1[[#This Row],[Fournisseur]]="","",IF(Tableau1[[#This Row],[Date Paiement Effectif]]="","Non encore payée",IF(I477&lt;0,"Attention, paiement hors délais","OK RAS")))</f>
        <v/>
      </c>
      <c r="K477" s="54" t="n">
        <v>46048</v>
      </c>
      <c r="L477" s="54" t="n"/>
      <c r="M477" s="31" t="n"/>
    </row>
    <row r="478" ht="14.25" customHeight="1">
      <c r="B478" s="78" t="n"/>
      <c r="D478" s="77" t="n"/>
      <c r="E478" s="46" t="n"/>
      <c r="F478" s="67" t="n"/>
      <c r="G478" s="2">
        <f>+IF(Tableau1[[#This Row],[Fournisseur]]="","",IFERROR(VLOOKUP(Tableau1[[#This Row],[Fournisseur]],SuiviFrs,2,FALSE),"Vérifier la syntaxe : Fournisseur introuvable au niveau du suivi des conventions"))</f>
        <v/>
      </c>
      <c r="H478" s="7">
        <f>++IF(Tableau1[[#This Row],[Fournisseur]]="","",C478+G478-1)</f>
        <v/>
      </c>
      <c r="I478" s="8">
        <f>++IF(Tableau1[[#This Row],[Fournisseur]]="","",IF(H478-Tableau1[[#This Row],[Date Paiement Effectif]]&gt;0," ",H478-Tableau1[[#This Row],[Date Paiement Effectif]]))</f>
        <v/>
      </c>
      <c r="J478" s="9">
        <f>++IF(Tableau1[[#This Row],[Fournisseur]]="","",IF(Tableau1[[#This Row],[Date Paiement Effectif]]="","Non encore payée",IF(I478&lt;0,"Attention, paiement hors délais","OK RAS")))</f>
        <v/>
      </c>
      <c r="K478" s="54" t="n">
        <v>46048</v>
      </c>
      <c r="L478" s="54" t="n"/>
      <c r="M478" s="31" t="n"/>
    </row>
    <row r="479" ht="14.25" customHeight="1">
      <c r="B479" s="78" t="n"/>
      <c r="D479" s="77" t="n"/>
      <c r="E479" s="46" t="n"/>
      <c r="F479" s="67" t="n"/>
      <c r="G479" s="2">
        <f>+IF(Tableau1[[#This Row],[Fournisseur]]="","",IFERROR(VLOOKUP(Tableau1[[#This Row],[Fournisseur]],SuiviFrs,2,FALSE),"Vérifier la syntaxe : Fournisseur introuvable au niveau du suivi des conventions"))</f>
        <v/>
      </c>
      <c r="H479" s="7">
        <f>++IF(Tableau1[[#This Row],[Fournisseur]]="","",C479+G479-1)</f>
        <v/>
      </c>
      <c r="I479" s="8">
        <f>++IF(Tableau1[[#This Row],[Fournisseur]]="","",IF(H479-Tableau1[[#This Row],[Date Paiement Effectif]]&gt;0," ",H479-Tableau1[[#This Row],[Date Paiement Effectif]]))</f>
        <v/>
      </c>
      <c r="J479" s="9">
        <f>++IF(Tableau1[[#This Row],[Fournisseur]]="","",IF(Tableau1[[#This Row],[Date Paiement Effectif]]="","Non encore payée",IF(I479&lt;0,"Attention, paiement hors délais","OK RAS")))</f>
        <v/>
      </c>
      <c r="K479" s="54" t="n">
        <v>46048</v>
      </c>
      <c r="L479" s="54" t="n"/>
      <c r="M479" s="31" t="n"/>
    </row>
    <row r="480" ht="14.25" customHeight="1">
      <c r="B480" s="78" t="n"/>
      <c r="D480" s="77" t="n"/>
      <c r="E480" s="46" t="n"/>
      <c r="F480" s="67" t="n"/>
      <c r="G480" s="2">
        <f>+IF(Tableau1[[#This Row],[Fournisseur]]="","",IFERROR(VLOOKUP(Tableau1[[#This Row],[Fournisseur]],SuiviFrs,2,FALSE),"Vérifier la syntaxe : Fournisseur introuvable au niveau du suivi des conventions"))</f>
        <v/>
      </c>
      <c r="H480" s="7">
        <f>++IF(Tableau1[[#This Row],[Fournisseur]]="","",C480+G480-1)</f>
        <v/>
      </c>
      <c r="I480" s="8">
        <f>++IF(Tableau1[[#This Row],[Fournisseur]]="","",IF(H480-Tableau1[[#This Row],[Date Paiement Effectif]]&gt;0," ",H480-Tableau1[[#This Row],[Date Paiement Effectif]]))</f>
        <v/>
      </c>
      <c r="J480" s="9">
        <f>++IF(Tableau1[[#This Row],[Fournisseur]]="","",IF(Tableau1[[#This Row],[Date Paiement Effectif]]="","Non encore payée",IF(I480&lt;0,"Attention, paiement hors délais","OK RAS")))</f>
        <v/>
      </c>
      <c r="K480" s="54" t="n">
        <v>46048</v>
      </c>
      <c r="L480" s="54" t="n"/>
      <c r="M480" s="31" t="n"/>
    </row>
    <row r="481" ht="14.25" customHeight="1">
      <c r="B481" s="78" t="n"/>
      <c r="D481" s="77" t="n"/>
      <c r="E481" s="46" t="n"/>
      <c r="F481" s="67" t="n"/>
      <c r="G481" s="2">
        <f>+IF(Tableau1[[#This Row],[Fournisseur]]="","",IFERROR(VLOOKUP(Tableau1[[#This Row],[Fournisseur]],SuiviFrs,2,FALSE),"Vérifier la syntaxe : Fournisseur introuvable au niveau du suivi des conventions"))</f>
        <v/>
      </c>
      <c r="H481" s="7">
        <f>++IF(Tableau1[[#This Row],[Fournisseur]]="","",C481+G481-1)</f>
        <v/>
      </c>
      <c r="I481" s="8">
        <f>++IF(Tableau1[[#This Row],[Fournisseur]]="","",IF(H481-Tableau1[[#This Row],[Date Paiement Effectif]]&gt;0," ",H481-Tableau1[[#This Row],[Date Paiement Effectif]]))</f>
        <v/>
      </c>
      <c r="J481" s="9">
        <f>++IF(Tableau1[[#This Row],[Fournisseur]]="","",IF(Tableau1[[#This Row],[Date Paiement Effectif]]="","Non encore payée",IF(I481&lt;0,"Attention, paiement hors délais","OK RAS")))</f>
        <v/>
      </c>
      <c r="K481" s="54" t="n">
        <v>46048</v>
      </c>
      <c r="L481" s="54" t="n"/>
      <c r="M481" s="31" t="n"/>
    </row>
    <row r="482" ht="14.25" customHeight="1">
      <c r="B482" s="78" t="n"/>
      <c r="D482" s="77" t="n"/>
      <c r="E482" s="46" t="n"/>
      <c r="F482" s="67" t="n"/>
      <c r="G482" s="2">
        <f>+IF(Tableau1[[#This Row],[Fournisseur]]="","",IFERROR(VLOOKUP(Tableau1[[#This Row],[Fournisseur]],SuiviFrs,2,FALSE),"Vérifier la syntaxe : Fournisseur introuvable au niveau du suivi des conventions"))</f>
        <v/>
      </c>
      <c r="H482" s="7">
        <f>++IF(Tableau1[[#This Row],[Fournisseur]]="","",C482+G482-1)</f>
        <v/>
      </c>
      <c r="I482" s="8">
        <f>++IF(Tableau1[[#This Row],[Fournisseur]]="","",IF(H482-Tableau1[[#This Row],[Date Paiement Effectif]]&gt;0," ",H482-Tableau1[[#This Row],[Date Paiement Effectif]]))</f>
        <v/>
      </c>
      <c r="J482" s="9">
        <f>++IF(Tableau1[[#This Row],[Fournisseur]]="","",IF(Tableau1[[#This Row],[Date Paiement Effectif]]="","Non encore payée",IF(I482&lt;0,"Attention, paiement hors délais","OK RAS")))</f>
        <v/>
      </c>
      <c r="K482" s="54" t="n">
        <v>46048</v>
      </c>
      <c r="L482" s="54" t="n"/>
      <c r="M482" s="31" t="n"/>
    </row>
    <row r="483" ht="14.25" customHeight="1">
      <c r="B483" s="78" t="n"/>
      <c r="D483" s="77" t="n"/>
      <c r="E483" s="46" t="n"/>
      <c r="F483" s="67" t="n"/>
      <c r="G483" s="2">
        <f>+IF(Tableau1[[#This Row],[Fournisseur]]="","",IFERROR(VLOOKUP(Tableau1[[#This Row],[Fournisseur]],SuiviFrs,2,FALSE),"Vérifier la syntaxe : Fournisseur introuvable au niveau du suivi des conventions"))</f>
        <v/>
      </c>
      <c r="H483" s="7">
        <f>++IF(Tableau1[[#This Row],[Fournisseur]]="","",C483+G483-1)</f>
        <v/>
      </c>
      <c r="I483" s="8">
        <f>++IF(Tableau1[[#This Row],[Fournisseur]]="","",IF(H483-Tableau1[[#This Row],[Date Paiement Effectif]]&gt;0," ",H483-Tableau1[[#This Row],[Date Paiement Effectif]]))</f>
        <v/>
      </c>
      <c r="J483" s="9">
        <f>++IF(Tableau1[[#This Row],[Fournisseur]]="","",IF(Tableau1[[#This Row],[Date Paiement Effectif]]="","Non encore payée",IF(I483&lt;0,"Attention, paiement hors délais","OK RAS")))</f>
        <v/>
      </c>
      <c r="K483" s="54" t="n">
        <v>46048</v>
      </c>
      <c r="L483" s="54" t="n"/>
      <c r="M483" s="31" t="n"/>
    </row>
    <row r="484" ht="14.25" customHeight="1">
      <c r="B484" s="78" t="n"/>
      <c r="D484" s="77" t="n"/>
      <c r="E484" s="46" t="n"/>
      <c r="F484" s="67" t="n"/>
      <c r="G484" s="2">
        <f>+IF(Tableau1[[#This Row],[Fournisseur]]="","",IFERROR(VLOOKUP(Tableau1[[#This Row],[Fournisseur]],SuiviFrs,2,FALSE),"Vérifier la syntaxe : Fournisseur introuvable au niveau du suivi des conventions"))</f>
        <v/>
      </c>
      <c r="H484" s="7">
        <f>++IF(Tableau1[[#This Row],[Fournisseur]]="","",C484+G484-1)</f>
        <v/>
      </c>
      <c r="I484" s="8">
        <f>++IF(Tableau1[[#This Row],[Fournisseur]]="","",IF(H484-Tableau1[[#This Row],[Date Paiement Effectif]]&gt;0," ",H484-Tableau1[[#This Row],[Date Paiement Effectif]]))</f>
        <v/>
      </c>
      <c r="J484" s="9">
        <f>++IF(Tableau1[[#This Row],[Fournisseur]]="","",IF(Tableau1[[#This Row],[Date Paiement Effectif]]="","Non encore payée",IF(I484&lt;0,"Attention, paiement hors délais","OK RAS")))</f>
        <v/>
      </c>
      <c r="K484" s="54" t="n">
        <v>46048</v>
      </c>
      <c r="L484" s="54" t="n"/>
      <c r="M484" s="31" t="n"/>
    </row>
    <row r="485" ht="14.25" customHeight="1">
      <c r="B485" s="78" t="n"/>
      <c r="D485" s="77" t="n"/>
      <c r="E485" s="46" t="n"/>
      <c r="F485" s="67" t="n"/>
      <c r="G485" s="2">
        <f>+IF(Tableau1[[#This Row],[Fournisseur]]="","",IFERROR(VLOOKUP(Tableau1[[#This Row],[Fournisseur]],SuiviFrs,2,FALSE),"Vérifier la syntaxe : Fournisseur introuvable au niveau du suivi des conventions"))</f>
        <v/>
      </c>
      <c r="H485" s="7">
        <f>++IF(Tableau1[[#This Row],[Fournisseur]]="","",C485+G485-1)</f>
        <v/>
      </c>
      <c r="I485" s="8">
        <f>++IF(Tableau1[[#This Row],[Fournisseur]]="","",IF(H485-Tableau1[[#This Row],[Date Paiement Effectif]]&gt;0," ",H485-Tableau1[[#This Row],[Date Paiement Effectif]]))</f>
        <v/>
      </c>
      <c r="J485" s="9">
        <f>++IF(Tableau1[[#This Row],[Fournisseur]]="","",IF(Tableau1[[#This Row],[Date Paiement Effectif]]="","Non encore payée",IF(I485&lt;0,"Attention, paiement hors délais","OK RAS")))</f>
        <v/>
      </c>
      <c r="K485" s="54" t="n">
        <v>46048</v>
      </c>
      <c r="L485" s="54" t="n"/>
      <c r="M485" s="31" t="n"/>
    </row>
    <row r="486" ht="14.25" customHeight="1">
      <c r="B486" s="78" t="n"/>
      <c r="D486" s="77" t="n"/>
      <c r="E486" s="46" t="n"/>
      <c r="F486" s="67" t="n"/>
      <c r="G486" s="2">
        <f>+IF(Tableau1[[#This Row],[Fournisseur]]="","",IFERROR(VLOOKUP(Tableau1[[#This Row],[Fournisseur]],SuiviFrs,2,FALSE),"Vérifier la syntaxe : Fournisseur introuvable au niveau du suivi des conventions"))</f>
        <v/>
      </c>
      <c r="H486" s="7">
        <f>++IF(Tableau1[[#This Row],[Fournisseur]]="","",C486+G486-1)</f>
        <v/>
      </c>
      <c r="I486" s="8">
        <f>++IF(Tableau1[[#This Row],[Fournisseur]]="","",IF(H486-Tableau1[[#This Row],[Date Paiement Effectif]]&gt;0," ",H486-Tableau1[[#This Row],[Date Paiement Effectif]]))</f>
        <v/>
      </c>
      <c r="J486" s="9">
        <f>++IF(Tableau1[[#This Row],[Fournisseur]]="","",IF(Tableau1[[#This Row],[Date Paiement Effectif]]="","Non encore payée",IF(I486&lt;0,"Attention, paiement hors délais","OK RAS")))</f>
        <v/>
      </c>
      <c r="K486" s="54" t="n">
        <v>46048</v>
      </c>
      <c r="L486" s="54" t="n"/>
      <c r="M486" s="31" t="n"/>
    </row>
    <row r="487" ht="14.25" customHeight="1">
      <c r="B487" s="78" t="n"/>
      <c r="D487" s="77" t="n"/>
      <c r="E487" s="46" t="n"/>
      <c r="F487" s="67" t="n"/>
      <c r="G487" s="2">
        <f>+IF(Tableau1[[#This Row],[Fournisseur]]="","",IFERROR(VLOOKUP(Tableau1[[#This Row],[Fournisseur]],SuiviFrs,2,FALSE),"Vérifier la syntaxe : Fournisseur introuvable au niveau du suivi des conventions"))</f>
        <v/>
      </c>
      <c r="H487" s="7">
        <f>++IF(Tableau1[[#This Row],[Fournisseur]]="","",C487+G487-1)</f>
        <v/>
      </c>
      <c r="I487" s="8">
        <f>++IF(Tableau1[[#This Row],[Fournisseur]]="","",IF(H487-Tableau1[[#This Row],[Date Paiement Effectif]]&gt;0," ",H487-Tableau1[[#This Row],[Date Paiement Effectif]]))</f>
        <v/>
      </c>
      <c r="J487" s="9">
        <f>++IF(Tableau1[[#This Row],[Fournisseur]]="","",IF(Tableau1[[#This Row],[Date Paiement Effectif]]="","Non encore payée",IF(I487&lt;0,"Attention, paiement hors délais","OK RAS")))</f>
        <v/>
      </c>
      <c r="K487" s="54" t="n">
        <v>46048</v>
      </c>
      <c r="L487" s="54" t="n"/>
      <c r="M487" s="31" t="n"/>
    </row>
    <row r="488" ht="14.25" customHeight="1">
      <c r="B488" s="78" t="n"/>
      <c r="D488" s="77" t="n"/>
      <c r="E488" s="46" t="n"/>
      <c r="F488" s="67" t="n"/>
      <c r="G488" s="2">
        <f>+IF(Tableau1[[#This Row],[Fournisseur]]="","",IFERROR(VLOOKUP(Tableau1[[#This Row],[Fournisseur]],SuiviFrs,2,FALSE),"Vérifier la syntaxe : Fournisseur introuvable au niveau du suivi des conventions"))</f>
        <v/>
      </c>
      <c r="H488" s="7">
        <f>++IF(Tableau1[[#This Row],[Fournisseur]]="","",C488+G488-1)</f>
        <v/>
      </c>
      <c r="I488" s="8">
        <f>++IF(Tableau1[[#This Row],[Fournisseur]]="","",IF(H488-Tableau1[[#This Row],[Date Paiement Effectif]]&gt;0," ",H488-Tableau1[[#This Row],[Date Paiement Effectif]]))</f>
        <v/>
      </c>
      <c r="J488" s="9">
        <f>++IF(Tableau1[[#This Row],[Fournisseur]]="","",IF(Tableau1[[#This Row],[Date Paiement Effectif]]="","Non encore payée",IF(I488&lt;0,"Attention, paiement hors délais","OK RAS")))</f>
        <v/>
      </c>
      <c r="K488" s="54" t="n">
        <v>46048</v>
      </c>
      <c r="L488" s="54" t="n"/>
      <c r="M488" s="31" t="n"/>
    </row>
    <row r="489" ht="14.25" customHeight="1">
      <c r="B489" s="78" t="n"/>
      <c r="D489" s="77" t="n"/>
      <c r="E489" s="46" t="n"/>
      <c r="F489" s="67" t="n"/>
      <c r="G489" s="2">
        <f>+IF(Tableau1[[#This Row],[Fournisseur]]="","",IFERROR(VLOOKUP(Tableau1[[#This Row],[Fournisseur]],SuiviFrs,2,FALSE),"Vérifier la syntaxe : Fournisseur introuvable au niveau du suivi des conventions"))</f>
        <v/>
      </c>
      <c r="H489" s="7">
        <f>++IF(Tableau1[[#This Row],[Fournisseur]]="","",C489+G489-1)</f>
        <v/>
      </c>
      <c r="I489" s="8">
        <f>++IF(Tableau1[[#This Row],[Fournisseur]]="","",IF(H489-Tableau1[[#This Row],[Date Paiement Effectif]]&gt;0," ",H489-Tableau1[[#This Row],[Date Paiement Effectif]]))</f>
        <v/>
      </c>
      <c r="J489" s="9">
        <f>++IF(Tableau1[[#This Row],[Fournisseur]]="","",IF(Tableau1[[#This Row],[Date Paiement Effectif]]="","Non encore payée",IF(I489&lt;0,"Attention, paiement hors délais","OK RAS")))</f>
        <v/>
      </c>
      <c r="K489" s="54" t="n">
        <v>46048</v>
      </c>
      <c r="L489" s="54" t="n"/>
      <c r="M489" s="31" t="n"/>
    </row>
    <row r="490" ht="14.25" customHeight="1">
      <c r="B490" s="78" t="n"/>
      <c r="D490" s="77" t="n"/>
      <c r="E490" s="46" t="n"/>
      <c r="F490" s="67" t="n"/>
      <c r="G490" s="2">
        <f>+IF(Tableau1[[#This Row],[Fournisseur]]="","",IFERROR(VLOOKUP(Tableau1[[#This Row],[Fournisseur]],SuiviFrs,2,FALSE),"Vérifier la syntaxe : Fournisseur introuvable au niveau du suivi des conventions"))</f>
        <v/>
      </c>
      <c r="H490" s="7">
        <f>++IF(Tableau1[[#This Row],[Fournisseur]]="","",C490+G490-1)</f>
        <v/>
      </c>
      <c r="I490" s="8">
        <f>++IF(Tableau1[[#This Row],[Fournisseur]]="","",IF(H490-Tableau1[[#This Row],[Date Paiement Effectif]]&gt;0," ",H490-Tableau1[[#This Row],[Date Paiement Effectif]]))</f>
        <v/>
      </c>
      <c r="J490" s="9">
        <f>++IF(Tableau1[[#This Row],[Fournisseur]]="","",IF(Tableau1[[#This Row],[Date Paiement Effectif]]="","Non encore payée",IF(I490&lt;0,"Attention, paiement hors délais","OK RAS")))</f>
        <v/>
      </c>
      <c r="K490" s="54" t="n">
        <v>46048</v>
      </c>
      <c r="L490" s="54" t="n"/>
      <c r="M490" s="31" t="n"/>
    </row>
    <row r="491" ht="14.25" customHeight="1">
      <c r="B491" s="78" t="n"/>
      <c r="D491" s="77" t="n"/>
      <c r="E491" s="46" t="n"/>
      <c r="F491" s="67" t="n"/>
      <c r="G491" s="2">
        <f>+IF(Tableau1[[#This Row],[Fournisseur]]="","",IFERROR(VLOOKUP(Tableau1[[#This Row],[Fournisseur]],SuiviFrs,2,FALSE),"Vérifier la syntaxe : Fournisseur introuvable au niveau du suivi des conventions"))</f>
        <v/>
      </c>
      <c r="H491" s="7">
        <f>++IF(Tableau1[[#This Row],[Fournisseur]]="","",C491+G491-1)</f>
        <v/>
      </c>
      <c r="I491" s="8">
        <f>++IF(Tableau1[[#This Row],[Fournisseur]]="","",IF(H491-Tableau1[[#This Row],[Date Paiement Effectif]]&gt;0," ",H491-Tableau1[[#This Row],[Date Paiement Effectif]]))</f>
        <v/>
      </c>
      <c r="J491" s="9">
        <f>++IF(Tableau1[[#This Row],[Fournisseur]]="","",IF(Tableau1[[#This Row],[Date Paiement Effectif]]="","Non encore payée",IF(I491&lt;0,"Attention, paiement hors délais","OK RAS")))</f>
        <v/>
      </c>
      <c r="K491" s="54" t="n">
        <v>46048</v>
      </c>
      <c r="L491" s="54" t="n"/>
      <c r="M491" s="31" t="n"/>
    </row>
    <row r="492" ht="14.25" customHeight="1">
      <c r="B492" s="78" t="n"/>
      <c r="D492" s="77" t="n"/>
      <c r="E492" s="46" t="n"/>
      <c r="F492" s="67" t="n"/>
      <c r="G492" s="2">
        <f>+IF(Tableau1[[#This Row],[Fournisseur]]="","",IFERROR(VLOOKUP(Tableau1[[#This Row],[Fournisseur]],SuiviFrs,2,FALSE),"Vérifier la syntaxe : Fournisseur introuvable au niveau du suivi des conventions"))</f>
        <v/>
      </c>
      <c r="H492" s="7">
        <f>++IF(Tableau1[[#This Row],[Fournisseur]]="","",C492+G492-1)</f>
        <v/>
      </c>
      <c r="I492" s="8">
        <f>++IF(Tableau1[[#This Row],[Fournisseur]]="","",IF(H492-Tableau1[[#This Row],[Date Paiement Effectif]]&gt;0," ",H492-Tableau1[[#This Row],[Date Paiement Effectif]]))</f>
        <v/>
      </c>
      <c r="J492" s="9">
        <f>++IF(Tableau1[[#This Row],[Fournisseur]]="","",IF(Tableau1[[#This Row],[Date Paiement Effectif]]="","Non encore payée",IF(I492&lt;0,"Attention, paiement hors délais","OK RAS")))</f>
        <v/>
      </c>
      <c r="K492" s="54" t="n">
        <v>46048</v>
      </c>
      <c r="L492" s="54" t="n"/>
      <c r="M492" s="31" t="n"/>
    </row>
    <row r="493" ht="14.25" customHeight="1">
      <c r="B493" s="78" t="n"/>
      <c r="D493" s="77" t="n"/>
      <c r="E493" s="46" t="n"/>
      <c r="F493" s="67" t="n"/>
      <c r="G493" s="2">
        <f>+IF(Tableau1[[#This Row],[Fournisseur]]="","",IFERROR(VLOOKUP(Tableau1[[#This Row],[Fournisseur]],SuiviFrs,2,FALSE),"Vérifier la syntaxe : Fournisseur introuvable au niveau du suivi des conventions"))</f>
        <v/>
      </c>
      <c r="H493" s="7">
        <f>++IF(Tableau1[[#This Row],[Fournisseur]]="","",C493+G493-1)</f>
        <v/>
      </c>
      <c r="I493" s="8">
        <f>++IF(Tableau1[[#This Row],[Fournisseur]]="","",IF(H493-Tableau1[[#This Row],[Date Paiement Effectif]]&gt;0," ",H493-Tableau1[[#This Row],[Date Paiement Effectif]]))</f>
        <v/>
      </c>
      <c r="J493" s="9">
        <f>++IF(Tableau1[[#This Row],[Fournisseur]]="","",IF(Tableau1[[#This Row],[Date Paiement Effectif]]="","Non encore payée",IF(I493&lt;0,"Attention, paiement hors délais","OK RAS")))</f>
        <v/>
      </c>
      <c r="K493" s="54" t="n">
        <v>46048</v>
      </c>
      <c r="L493" s="54" t="n"/>
      <c r="M493" s="31" t="n"/>
    </row>
    <row r="494" ht="14.25" customHeight="1">
      <c r="B494" s="78" t="n"/>
      <c r="D494" s="77" t="n"/>
      <c r="E494" s="46" t="n"/>
      <c r="F494" s="67" t="n"/>
      <c r="G494" s="2">
        <f>+IF(Tableau1[[#This Row],[Fournisseur]]="","",IFERROR(VLOOKUP(Tableau1[[#This Row],[Fournisseur]],SuiviFrs,2,FALSE),"Vérifier la syntaxe : Fournisseur introuvable au niveau du suivi des conventions"))</f>
        <v/>
      </c>
      <c r="H494" s="7">
        <f>++IF(Tableau1[[#This Row],[Fournisseur]]="","",C494+G494-1)</f>
        <v/>
      </c>
      <c r="I494" s="8">
        <f>++IF(Tableau1[[#This Row],[Fournisseur]]="","",IF(H494-Tableau1[[#This Row],[Date Paiement Effectif]]&gt;0," ",H494-Tableau1[[#This Row],[Date Paiement Effectif]]))</f>
        <v/>
      </c>
      <c r="J494" s="9">
        <f>++IF(Tableau1[[#This Row],[Fournisseur]]="","",IF(Tableau1[[#This Row],[Date Paiement Effectif]]="","Non encore payée",IF(I494&lt;0,"Attention, paiement hors délais","OK RAS")))</f>
        <v/>
      </c>
      <c r="K494" s="54" t="n">
        <v>46048</v>
      </c>
      <c r="L494" s="54" t="n"/>
      <c r="M494" s="31" t="n"/>
    </row>
    <row r="495" ht="14.25" customHeight="1">
      <c r="B495" s="78" t="n"/>
      <c r="D495" s="77" t="n"/>
      <c r="E495" s="46" t="n"/>
      <c r="F495" s="67" t="n"/>
      <c r="G495" s="2">
        <f>+IF(Tableau1[[#This Row],[Fournisseur]]="","",IFERROR(VLOOKUP(Tableau1[[#This Row],[Fournisseur]],SuiviFrs,2,FALSE),"Vérifier la syntaxe : Fournisseur introuvable au niveau du suivi des conventions"))</f>
        <v/>
      </c>
      <c r="H495" s="7">
        <f>++IF(Tableau1[[#This Row],[Fournisseur]]="","",C495+G495-1)</f>
        <v/>
      </c>
      <c r="I495" s="8">
        <f>++IF(Tableau1[[#This Row],[Fournisseur]]="","",IF(H495-Tableau1[[#This Row],[Date Paiement Effectif]]&gt;0," ",H495-Tableau1[[#This Row],[Date Paiement Effectif]]))</f>
        <v/>
      </c>
      <c r="J495" s="9">
        <f>++IF(Tableau1[[#This Row],[Fournisseur]]="","",IF(Tableau1[[#This Row],[Date Paiement Effectif]]="","Non encore payée",IF(I495&lt;0,"Attention, paiement hors délais","OK RAS")))</f>
        <v/>
      </c>
      <c r="K495" s="54" t="n">
        <v>46048</v>
      </c>
      <c r="L495" s="54" t="n"/>
      <c r="M495" s="31" t="n"/>
    </row>
    <row r="496" ht="14.25" customHeight="1">
      <c r="B496" s="78" t="n"/>
      <c r="D496" s="77" t="n"/>
      <c r="E496" s="46" t="n"/>
      <c r="F496" s="67" t="n"/>
      <c r="G496" s="2">
        <f>+IF(Tableau1[[#This Row],[Fournisseur]]="","",IFERROR(VLOOKUP(Tableau1[[#This Row],[Fournisseur]],SuiviFrs,2,FALSE),"Vérifier la syntaxe : Fournisseur introuvable au niveau du suivi des conventions"))</f>
        <v/>
      </c>
      <c r="H496" s="7">
        <f>++IF(Tableau1[[#This Row],[Fournisseur]]="","",C496+G496-1)</f>
        <v/>
      </c>
      <c r="I496" s="8">
        <f>++IF(Tableau1[[#This Row],[Fournisseur]]="","",IF(H496-Tableau1[[#This Row],[Date Paiement Effectif]]&gt;0," ",H496-Tableau1[[#This Row],[Date Paiement Effectif]]))</f>
        <v/>
      </c>
      <c r="J496" s="9">
        <f>++IF(Tableau1[[#This Row],[Fournisseur]]="","",IF(Tableau1[[#This Row],[Date Paiement Effectif]]="","Non encore payée",IF(I496&lt;0,"Attention, paiement hors délais","OK RAS")))</f>
        <v/>
      </c>
      <c r="K496" s="54" t="n">
        <v>46048</v>
      </c>
      <c r="L496" s="54" t="n"/>
      <c r="M496" s="31" t="n"/>
    </row>
    <row r="497" ht="14.25" customHeight="1">
      <c r="B497" s="78" t="n"/>
      <c r="D497" s="77" t="n"/>
      <c r="E497" s="46" t="n"/>
      <c r="F497" s="67" t="n"/>
      <c r="G497" s="2">
        <f>+IF(Tableau1[[#This Row],[Fournisseur]]="","",IFERROR(VLOOKUP(Tableau1[[#This Row],[Fournisseur]],SuiviFrs,2,FALSE),"Vérifier la syntaxe : Fournisseur introuvable au niveau du suivi des conventions"))</f>
        <v/>
      </c>
      <c r="H497" s="7">
        <f>++IF(Tableau1[[#This Row],[Fournisseur]]="","",C497+G497-1)</f>
        <v/>
      </c>
      <c r="I497" s="8">
        <f>++IF(Tableau1[[#This Row],[Fournisseur]]="","",IF(H497-Tableau1[[#This Row],[Date Paiement Effectif]]&gt;0," ",H497-Tableau1[[#This Row],[Date Paiement Effectif]]))</f>
        <v/>
      </c>
      <c r="J497" s="9">
        <f>++IF(Tableau1[[#This Row],[Fournisseur]]="","",IF(Tableau1[[#This Row],[Date Paiement Effectif]]="","Non encore payée",IF(I497&lt;0,"Attention, paiement hors délais","OK RAS")))</f>
        <v/>
      </c>
      <c r="K497" s="54" t="n">
        <v>46048</v>
      </c>
      <c r="L497" s="54" t="n"/>
      <c r="M497" s="31" t="n"/>
    </row>
    <row r="498" ht="14.25" customHeight="1">
      <c r="B498" s="78" t="n"/>
      <c r="D498" s="77" t="n"/>
      <c r="E498" s="46" t="n"/>
      <c r="F498" s="67" t="n"/>
      <c r="G498" s="2">
        <f>+IF(Tableau1[[#This Row],[Fournisseur]]="","",IFERROR(VLOOKUP(Tableau1[[#This Row],[Fournisseur]],SuiviFrs,2,FALSE),"Vérifier la syntaxe : Fournisseur introuvable au niveau du suivi des conventions"))</f>
        <v/>
      </c>
      <c r="H498" s="7">
        <f>++IF(Tableau1[[#This Row],[Fournisseur]]="","",C498+G498-1)</f>
        <v/>
      </c>
      <c r="I498" s="8">
        <f>++IF(Tableau1[[#This Row],[Fournisseur]]="","",IF(H498-Tableau1[[#This Row],[Date Paiement Effectif]]&gt;0," ",H498-Tableau1[[#This Row],[Date Paiement Effectif]]))</f>
        <v/>
      </c>
      <c r="J498" s="9">
        <f>++IF(Tableau1[[#This Row],[Fournisseur]]="","",IF(Tableau1[[#This Row],[Date Paiement Effectif]]="","Non encore payée",IF(I498&lt;0,"Attention, paiement hors délais","OK RAS")))</f>
        <v/>
      </c>
      <c r="K498" s="54" t="n">
        <v>46048</v>
      </c>
      <c r="L498" s="54" t="n"/>
      <c r="M498" s="31" t="n"/>
    </row>
    <row r="499" ht="14.25" customHeight="1">
      <c r="B499" s="78" t="n"/>
      <c r="D499" s="77" t="n"/>
      <c r="E499" s="46" t="n"/>
      <c r="F499" s="67" t="n"/>
      <c r="G499" s="2">
        <f>+IF(Tableau1[[#This Row],[Fournisseur]]="","",IFERROR(VLOOKUP(Tableau1[[#This Row],[Fournisseur]],SuiviFrs,2,FALSE),"Vérifier la syntaxe : Fournisseur introuvable au niveau du suivi des conventions"))</f>
        <v/>
      </c>
      <c r="H499" s="7">
        <f>++IF(Tableau1[[#This Row],[Fournisseur]]="","",C499+G499-1)</f>
        <v/>
      </c>
      <c r="I499" s="8">
        <f>++IF(Tableau1[[#This Row],[Fournisseur]]="","",IF(H499-Tableau1[[#This Row],[Date Paiement Effectif]]&gt;0," ",H499-Tableau1[[#This Row],[Date Paiement Effectif]]))</f>
        <v/>
      </c>
      <c r="J499" s="9">
        <f>++IF(Tableau1[[#This Row],[Fournisseur]]="","",IF(Tableau1[[#This Row],[Date Paiement Effectif]]="","Non encore payée",IF(I499&lt;0,"Attention, paiement hors délais","OK RAS")))</f>
        <v/>
      </c>
      <c r="K499" s="54" t="n">
        <v>46048</v>
      </c>
      <c r="L499" s="54" t="n"/>
      <c r="M499" s="31" t="n"/>
    </row>
    <row r="500" ht="14.25" customHeight="1">
      <c r="B500" s="78" t="n"/>
      <c r="D500" s="77" t="n"/>
      <c r="E500" s="46" t="n"/>
      <c r="F500" s="67" t="n"/>
      <c r="G500" s="2">
        <f>+IF(Tableau1[[#This Row],[Fournisseur]]="","",IFERROR(VLOOKUP(Tableau1[[#This Row],[Fournisseur]],SuiviFrs,2,FALSE),"Vérifier la syntaxe : Fournisseur introuvable au niveau du suivi des conventions"))</f>
        <v/>
      </c>
      <c r="H500" s="7">
        <f>++IF(Tableau1[[#This Row],[Fournisseur]]="","",C500+G500-1)</f>
        <v/>
      </c>
      <c r="I500" s="8">
        <f>++IF(Tableau1[[#This Row],[Fournisseur]]="","",IF(H500-Tableau1[[#This Row],[Date Paiement Effectif]]&gt;0," ",H500-Tableau1[[#This Row],[Date Paiement Effectif]]))</f>
        <v/>
      </c>
      <c r="J500" s="9">
        <f>++IF(Tableau1[[#This Row],[Fournisseur]]="","",IF(Tableau1[[#This Row],[Date Paiement Effectif]]="","Non encore payée",IF(I500&lt;0,"Attention, paiement hors délais","OK RAS")))</f>
        <v/>
      </c>
      <c r="K500" s="54" t="n">
        <v>46048</v>
      </c>
      <c r="L500" s="54" t="n"/>
      <c r="M500" s="31" t="n"/>
    </row>
    <row r="501" ht="14.25" customHeight="1">
      <c r="B501" s="78" t="n"/>
      <c r="D501" s="77" t="n"/>
      <c r="E501" s="46" t="n"/>
      <c r="F501" s="67" t="n"/>
      <c r="G501" s="2">
        <f>+IF(Tableau1[[#This Row],[Fournisseur]]="","",IFERROR(VLOOKUP(Tableau1[[#This Row],[Fournisseur]],SuiviFrs,2,FALSE),"Vérifier la syntaxe : Fournisseur introuvable au niveau du suivi des conventions"))</f>
        <v/>
      </c>
      <c r="H501" s="7">
        <f>++IF(Tableau1[[#This Row],[Fournisseur]]="","",C501+G501-1)</f>
        <v/>
      </c>
      <c r="I501" s="8">
        <f>++IF(Tableau1[[#This Row],[Fournisseur]]="","",IF(H501-Tableau1[[#This Row],[Date Paiement Effectif]]&gt;0," ",H501-Tableau1[[#This Row],[Date Paiement Effectif]]))</f>
        <v/>
      </c>
      <c r="J501" s="9">
        <f>++IF(Tableau1[[#This Row],[Fournisseur]]="","",IF(Tableau1[[#This Row],[Date Paiement Effectif]]="","Non encore payée",IF(I501&lt;0,"Attention, paiement hors délais","OK RAS")))</f>
        <v/>
      </c>
      <c r="K501" s="54" t="n">
        <v>46048</v>
      </c>
      <c r="L501" s="54" t="n"/>
      <c r="M501" s="31" t="n"/>
    </row>
    <row r="502" ht="14.25" customHeight="1">
      <c r="B502" s="78" t="n"/>
      <c r="D502" s="77" t="n"/>
      <c r="E502" s="46" t="n"/>
      <c r="F502" s="67" t="n"/>
      <c r="G502" s="2">
        <f>+IF(Tableau1[[#This Row],[Fournisseur]]="","",IFERROR(VLOOKUP(Tableau1[[#This Row],[Fournisseur]],SuiviFrs,2,FALSE),"Vérifier la syntaxe : Fournisseur introuvable au niveau du suivi des conventions"))</f>
        <v/>
      </c>
      <c r="H502" s="7">
        <f>++IF(Tableau1[[#This Row],[Fournisseur]]="","",C502+G502-1)</f>
        <v/>
      </c>
      <c r="I502" s="8">
        <f>++IF(Tableau1[[#This Row],[Fournisseur]]="","",IF(H502-Tableau1[[#This Row],[Date Paiement Effectif]]&gt;0," ",H502-Tableau1[[#This Row],[Date Paiement Effectif]]))</f>
        <v/>
      </c>
      <c r="J502" s="9">
        <f>++IF(Tableau1[[#This Row],[Fournisseur]]="","",IF(Tableau1[[#This Row],[Date Paiement Effectif]]="","Non encore payée",IF(I502&lt;0,"Attention, paiement hors délais","OK RAS")))</f>
        <v/>
      </c>
      <c r="K502" s="54" t="n">
        <v>46048</v>
      </c>
      <c r="L502" s="54" t="n"/>
      <c r="M502" s="31" t="n"/>
    </row>
    <row r="503" ht="14.25" customHeight="1">
      <c r="B503" s="78" t="n"/>
      <c r="D503" s="77" t="n"/>
      <c r="E503" s="46" t="n"/>
      <c r="F503" s="67" t="n"/>
      <c r="G503" s="2">
        <f>+IF(Tableau1[[#This Row],[Fournisseur]]="","",IFERROR(VLOOKUP(Tableau1[[#This Row],[Fournisseur]],SuiviFrs,2,FALSE),"Vérifier la syntaxe : Fournisseur introuvable au niveau du suivi des conventions"))</f>
        <v/>
      </c>
      <c r="H503" s="7">
        <f>++IF(Tableau1[[#This Row],[Fournisseur]]="","",C503+G503-1)</f>
        <v/>
      </c>
      <c r="I503" s="8">
        <f>++IF(Tableau1[[#This Row],[Fournisseur]]="","",IF(H503-Tableau1[[#This Row],[Date Paiement Effectif]]&gt;0," ",H503-Tableau1[[#This Row],[Date Paiement Effectif]]))</f>
        <v/>
      </c>
      <c r="J503" s="9">
        <f>++IF(Tableau1[[#This Row],[Fournisseur]]="","",IF(Tableau1[[#This Row],[Date Paiement Effectif]]="","Non encore payée",IF(I503&lt;0,"Attention, paiement hors délais","OK RAS")))</f>
        <v/>
      </c>
      <c r="K503" s="54" t="n">
        <v>46048</v>
      </c>
      <c r="L503" s="54" t="n"/>
      <c r="M503" s="31" t="n"/>
    </row>
    <row r="504" ht="14.25" customHeight="1">
      <c r="B504" s="78" t="n"/>
      <c r="D504" s="77" t="n"/>
      <c r="E504" s="46" t="n"/>
      <c r="F504" s="67" t="n"/>
      <c r="G504" s="2">
        <f>+IF(Tableau1[[#This Row],[Fournisseur]]="","",IFERROR(VLOOKUP(Tableau1[[#This Row],[Fournisseur]],SuiviFrs,2,FALSE),"Vérifier la syntaxe : Fournisseur introuvable au niveau du suivi des conventions"))</f>
        <v/>
      </c>
      <c r="H504" s="7">
        <f>++IF(Tableau1[[#This Row],[Fournisseur]]="","",C504+G504-1)</f>
        <v/>
      </c>
      <c r="I504" s="8">
        <f>++IF(Tableau1[[#This Row],[Fournisseur]]="","",IF(H504-Tableau1[[#This Row],[Date Paiement Effectif]]&gt;0," ",H504-Tableau1[[#This Row],[Date Paiement Effectif]]))</f>
        <v/>
      </c>
      <c r="J504" s="9">
        <f>++IF(Tableau1[[#This Row],[Fournisseur]]="","",IF(Tableau1[[#This Row],[Date Paiement Effectif]]="","Non encore payée",IF(I504&lt;0,"Attention, paiement hors délais","OK RAS")))</f>
        <v/>
      </c>
      <c r="K504" s="54" t="n">
        <v>46048</v>
      </c>
      <c r="L504" s="54" t="n"/>
      <c r="M504" s="31" t="n"/>
    </row>
    <row r="505" ht="14.25" customHeight="1">
      <c r="B505" s="78" t="n"/>
      <c r="D505" s="77" t="n"/>
      <c r="E505" s="46" t="n"/>
      <c r="F505" s="67" t="n"/>
      <c r="G505" s="2">
        <f>+IF(Tableau1[[#This Row],[Fournisseur]]="","",IFERROR(VLOOKUP(Tableau1[[#This Row],[Fournisseur]],SuiviFrs,2,FALSE),"Vérifier la syntaxe : Fournisseur introuvable au niveau du suivi des conventions"))</f>
        <v/>
      </c>
      <c r="H505" s="7">
        <f>++IF(Tableau1[[#This Row],[Fournisseur]]="","",C505+G505-1)</f>
        <v/>
      </c>
      <c r="I505" s="8">
        <f>++IF(Tableau1[[#This Row],[Fournisseur]]="","",IF(H505-Tableau1[[#This Row],[Date Paiement Effectif]]&gt;0," ",H505-Tableau1[[#This Row],[Date Paiement Effectif]]))</f>
        <v/>
      </c>
      <c r="J505" s="9">
        <f>++IF(Tableau1[[#This Row],[Fournisseur]]="","",IF(Tableau1[[#This Row],[Date Paiement Effectif]]="","Non encore payée",IF(I505&lt;0,"Attention, paiement hors délais","OK RAS")))</f>
        <v/>
      </c>
      <c r="K505" s="54" t="n">
        <v>46048</v>
      </c>
      <c r="L505" s="54" t="n"/>
      <c r="M505" s="31" t="n"/>
    </row>
    <row r="506" ht="14.25" customHeight="1">
      <c r="B506" s="78" t="n"/>
      <c r="D506" s="77" t="n"/>
      <c r="E506" s="46" t="n"/>
      <c r="F506" s="67" t="n"/>
      <c r="G506" s="2">
        <f>+IF(Tableau1[[#This Row],[Fournisseur]]="","",IFERROR(VLOOKUP(Tableau1[[#This Row],[Fournisseur]],SuiviFrs,2,FALSE),"Vérifier la syntaxe : Fournisseur introuvable au niveau du suivi des conventions"))</f>
        <v/>
      </c>
      <c r="H506" s="7">
        <f>++IF(Tableau1[[#This Row],[Fournisseur]]="","",C506+G506-1)</f>
        <v/>
      </c>
      <c r="I506" s="8">
        <f>++IF(Tableau1[[#This Row],[Fournisseur]]="","",IF(H506-Tableau1[[#This Row],[Date Paiement Effectif]]&gt;0," ",H506-Tableau1[[#This Row],[Date Paiement Effectif]]))</f>
        <v/>
      </c>
      <c r="J506" s="9">
        <f>++IF(Tableau1[[#This Row],[Fournisseur]]="","",IF(Tableau1[[#This Row],[Date Paiement Effectif]]="","Non encore payée",IF(I506&lt;0,"Attention, paiement hors délais","OK RAS")))</f>
        <v/>
      </c>
      <c r="K506" s="54" t="n">
        <v>46048</v>
      </c>
      <c r="L506" s="54" t="n"/>
      <c r="M506" s="31" t="n"/>
    </row>
    <row r="507" ht="14.25" customHeight="1">
      <c r="B507" s="78" t="n"/>
      <c r="D507" s="77" t="n"/>
      <c r="E507" s="46" t="n"/>
      <c r="F507" s="67" t="n"/>
      <c r="G507" s="2">
        <f>+IF(Tableau1[[#This Row],[Fournisseur]]="","",IFERROR(VLOOKUP(Tableau1[[#This Row],[Fournisseur]],SuiviFrs,2,FALSE),"Vérifier la syntaxe : Fournisseur introuvable au niveau du suivi des conventions"))</f>
        <v/>
      </c>
      <c r="H507" s="7">
        <f>++IF(Tableau1[[#This Row],[Fournisseur]]="","",C507+G507-1)</f>
        <v/>
      </c>
      <c r="I507" s="8">
        <f>++IF(Tableau1[[#This Row],[Fournisseur]]="","",IF(H507-Tableau1[[#This Row],[Date Paiement Effectif]]&gt;0," ",H507-Tableau1[[#This Row],[Date Paiement Effectif]]))</f>
        <v/>
      </c>
      <c r="J507" s="9">
        <f>++IF(Tableau1[[#This Row],[Fournisseur]]="","",IF(Tableau1[[#This Row],[Date Paiement Effectif]]="","Non encore payée",IF(I507&lt;0,"Attention, paiement hors délais","OK RAS")))</f>
        <v/>
      </c>
      <c r="K507" s="54" t="n">
        <v>46048</v>
      </c>
      <c r="L507" s="54" t="n"/>
      <c r="M507" s="31" t="n"/>
    </row>
    <row r="508" ht="14.25" customHeight="1">
      <c r="B508" s="78" t="n"/>
      <c r="D508" s="77" t="n"/>
      <c r="E508" s="46" t="n"/>
      <c r="F508" s="67" t="n"/>
      <c r="G508" s="2">
        <f>+IF(Tableau1[[#This Row],[Fournisseur]]="","",IFERROR(VLOOKUP(Tableau1[[#This Row],[Fournisseur]],SuiviFrs,2,FALSE),"Vérifier la syntaxe : Fournisseur introuvable au niveau du suivi des conventions"))</f>
        <v/>
      </c>
      <c r="H508" s="7">
        <f>++IF(Tableau1[[#This Row],[Fournisseur]]="","",C508+G508-1)</f>
        <v/>
      </c>
      <c r="I508" s="8">
        <f>++IF(Tableau1[[#This Row],[Fournisseur]]="","",IF(H508-Tableau1[[#This Row],[Date Paiement Effectif]]&gt;0," ",H508-Tableau1[[#This Row],[Date Paiement Effectif]]))</f>
        <v/>
      </c>
      <c r="J508" s="9">
        <f>++IF(Tableau1[[#This Row],[Fournisseur]]="","",IF(Tableau1[[#This Row],[Date Paiement Effectif]]="","Non encore payée",IF(I508&lt;0,"Attention, paiement hors délais","OK RAS")))</f>
        <v/>
      </c>
      <c r="K508" s="54" t="n">
        <v>46048</v>
      </c>
      <c r="L508" s="54" t="n"/>
      <c r="M508" s="31" t="n"/>
    </row>
    <row r="509" ht="14.25" customHeight="1">
      <c r="B509" s="78" t="n"/>
      <c r="D509" s="77" t="n"/>
      <c r="E509" s="46" t="n"/>
      <c r="F509" s="67" t="n"/>
      <c r="G509" s="2">
        <f>+IF(Tableau1[[#This Row],[Fournisseur]]="","",IFERROR(VLOOKUP(Tableau1[[#This Row],[Fournisseur]],SuiviFrs,2,FALSE),"Vérifier la syntaxe : Fournisseur introuvable au niveau du suivi des conventions"))</f>
        <v/>
      </c>
      <c r="H509" s="7">
        <f>++IF(Tableau1[[#This Row],[Fournisseur]]="","",C509+G509-1)</f>
        <v/>
      </c>
      <c r="I509" s="8">
        <f>++IF(Tableau1[[#This Row],[Fournisseur]]="","",IF(H509-Tableau1[[#This Row],[Date Paiement Effectif]]&gt;0," ",H509-Tableau1[[#This Row],[Date Paiement Effectif]]))</f>
        <v/>
      </c>
      <c r="J509" s="9">
        <f>++IF(Tableau1[[#This Row],[Fournisseur]]="","",IF(Tableau1[[#This Row],[Date Paiement Effectif]]="","Non encore payée",IF(I509&lt;0,"Attention, paiement hors délais","OK RAS")))</f>
        <v/>
      </c>
      <c r="K509" s="54" t="n">
        <v>46048</v>
      </c>
      <c r="L509" s="54" t="n"/>
      <c r="M509" s="31" t="n"/>
    </row>
    <row r="510" ht="14.25" customHeight="1">
      <c r="B510" s="78" t="n"/>
      <c r="D510" s="77" t="n"/>
      <c r="E510" s="46" t="n"/>
      <c r="F510" s="67" t="n"/>
      <c r="G510" s="2">
        <f>+IF(Tableau1[[#This Row],[Fournisseur]]="","",IFERROR(VLOOKUP(Tableau1[[#This Row],[Fournisseur]],SuiviFrs,2,FALSE),"Vérifier la syntaxe : Fournisseur introuvable au niveau du suivi des conventions"))</f>
        <v/>
      </c>
      <c r="H510" s="7">
        <f>++IF(Tableau1[[#This Row],[Fournisseur]]="","",C510+G510-1)</f>
        <v/>
      </c>
      <c r="I510" s="8">
        <f>++IF(Tableau1[[#This Row],[Fournisseur]]="","",IF(H510-Tableau1[[#This Row],[Date Paiement Effectif]]&gt;0," ",H510-Tableau1[[#This Row],[Date Paiement Effectif]]))</f>
        <v/>
      </c>
      <c r="J510" s="9">
        <f>++IF(Tableau1[[#This Row],[Fournisseur]]="","",IF(Tableau1[[#This Row],[Date Paiement Effectif]]="","Non encore payée",IF(I510&lt;0,"Attention, paiement hors délais","OK RAS")))</f>
        <v/>
      </c>
      <c r="K510" s="54" t="n">
        <v>46048</v>
      </c>
      <c r="L510" s="54" t="n"/>
      <c r="M510" s="31" t="n"/>
    </row>
    <row r="511" ht="14.25" customHeight="1">
      <c r="B511" s="78" t="n"/>
      <c r="D511" s="77" t="n"/>
      <c r="E511" s="46" t="n"/>
      <c r="F511" s="67" t="n"/>
      <c r="G511" s="2">
        <f>+IF(Tableau1[[#This Row],[Fournisseur]]="","",IFERROR(VLOOKUP(Tableau1[[#This Row],[Fournisseur]],SuiviFrs,2,FALSE),"Vérifier la syntaxe : Fournisseur introuvable au niveau du suivi des conventions"))</f>
        <v/>
      </c>
      <c r="H511" s="7">
        <f>++IF(Tableau1[[#This Row],[Fournisseur]]="","",C511+G511-1)</f>
        <v/>
      </c>
      <c r="I511" s="8">
        <f>++IF(Tableau1[[#This Row],[Fournisseur]]="","",IF(H511-Tableau1[[#This Row],[Date Paiement Effectif]]&gt;0," ",H511-Tableau1[[#This Row],[Date Paiement Effectif]]))</f>
        <v/>
      </c>
      <c r="J511" s="9">
        <f>++IF(Tableau1[[#This Row],[Fournisseur]]="","",IF(Tableau1[[#This Row],[Date Paiement Effectif]]="","Non encore payée",IF(I511&lt;0,"Attention, paiement hors délais","OK RAS")))</f>
        <v/>
      </c>
      <c r="K511" s="54" t="n">
        <v>46048</v>
      </c>
      <c r="L511" s="54" t="n"/>
      <c r="M511" s="31" t="n"/>
    </row>
    <row r="512" ht="14.25" customHeight="1">
      <c r="B512" s="78" t="n"/>
      <c r="D512" s="77" t="n"/>
      <c r="E512" s="46" t="n"/>
      <c r="F512" s="67" t="n"/>
      <c r="G512" s="2">
        <f>+IF(Tableau1[[#This Row],[Fournisseur]]="","",IFERROR(VLOOKUP(Tableau1[[#This Row],[Fournisseur]],SuiviFrs,2,FALSE),"Vérifier la syntaxe : Fournisseur introuvable au niveau du suivi des conventions"))</f>
        <v/>
      </c>
      <c r="H512" s="7">
        <f>++IF(Tableau1[[#This Row],[Fournisseur]]="","",C512+G512-1)</f>
        <v/>
      </c>
      <c r="I512" s="8">
        <f>++IF(Tableau1[[#This Row],[Fournisseur]]="","",IF(H512-Tableau1[[#This Row],[Date Paiement Effectif]]&gt;0," ",H512-Tableau1[[#This Row],[Date Paiement Effectif]]))</f>
        <v/>
      </c>
      <c r="J512" s="9">
        <f>++IF(Tableau1[[#This Row],[Fournisseur]]="","",IF(Tableau1[[#This Row],[Date Paiement Effectif]]="","Non encore payée",IF(I512&lt;0,"Attention, paiement hors délais","OK RAS")))</f>
        <v/>
      </c>
      <c r="K512" s="54" t="n">
        <v>46048</v>
      </c>
      <c r="L512" s="54" t="n"/>
      <c r="M512" s="31" t="n"/>
    </row>
    <row r="513" ht="14.25" customHeight="1">
      <c r="B513" s="78" t="n"/>
      <c r="D513" s="77" t="n"/>
      <c r="E513" s="46" t="n"/>
      <c r="F513" s="67" t="n"/>
      <c r="G513" s="2">
        <f>+IF(Tableau1[[#This Row],[Fournisseur]]="","",IFERROR(VLOOKUP(Tableau1[[#This Row],[Fournisseur]],SuiviFrs,2,FALSE),"Vérifier la syntaxe : Fournisseur introuvable au niveau du suivi des conventions"))</f>
        <v/>
      </c>
      <c r="H513" s="7">
        <f>++IF(Tableau1[[#This Row],[Fournisseur]]="","",C513+G513-1)</f>
        <v/>
      </c>
      <c r="I513" s="8">
        <f>++IF(Tableau1[[#This Row],[Fournisseur]]="","",IF(H513-Tableau1[[#This Row],[Date Paiement Effectif]]&gt;0," ",H513-Tableau1[[#This Row],[Date Paiement Effectif]]))</f>
        <v/>
      </c>
      <c r="J513" s="9">
        <f>++IF(Tableau1[[#This Row],[Fournisseur]]="","",IF(Tableau1[[#This Row],[Date Paiement Effectif]]="","Non encore payée",IF(I513&lt;0,"Attention, paiement hors délais","OK RAS")))</f>
        <v/>
      </c>
      <c r="K513" s="54" t="n">
        <v>46048</v>
      </c>
      <c r="L513" s="54" t="n"/>
      <c r="M513" s="31" t="n"/>
    </row>
    <row r="514" ht="14.25" customHeight="1">
      <c r="B514" s="78" t="n"/>
      <c r="D514" s="77" t="n"/>
      <c r="E514" s="46" t="n"/>
      <c r="F514" s="67" t="n"/>
      <c r="G514" s="2">
        <f>+IF(Tableau1[[#This Row],[Fournisseur]]="","",IFERROR(VLOOKUP(Tableau1[[#This Row],[Fournisseur]],SuiviFrs,2,FALSE),"Vérifier la syntaxe : Fournisseur introuvable au niveau du suivi des conventions"))</f>
        <v/>
      </c>
      <c r="H514" s="7">
        <f>++IF(Tableau1[[#This Row],[Fournisseur]]="","",C514+G514-1)</f>
        <v/>
      </c>
      <c r="I514" s="8">
        <f>++IF(Tableau1[[#This Row],[Fournisseur]]="","",IF(H514-Tableau1[[#This Row],[Date Paiement Effectif]]&gt;0," ",H514-Tableau1[[#This Row],[Date Paiement Effectif]]))</f>
        <v/>
      </c>
      <c r="J514" s="9">
        <f>++IF(Tableau1[[#This Row],[Fournisseur]]="","",IF(Tableau1[[#This Row],[Date Paiement Effectif]]="","Non encore payée",IF(I514&lt;0,"Attention, paiement hors délais","OK RAS")))</f>
        <v/>
      </c>
      <c r="K514" s="54" t="n">
        <v>46048</v>
      </c>
      <c r="L514" s="54" t="n"/>
      <c r="M514" s="31" t="n"/>
    </row>
    <row r="515" ht="14.25" customHeight="1">
      <c r="B515" s="78" t="n"/>
      <c r="D515" s="77" t="n"/>
      <c r="E515" s="46" t="n"/>
      <c r="F515" s="67" t="n"/>
      <c r="G515" s="2">
        <f>+IF(Tableau1[[#This Row],[Fournisseur]]="","",IFERROR(VLOOKUP(Tableau1[[#This Row],[Fournisseur]],SuiviFrs,2,FALSE),"Vérifier la syntaxe : Fournisseur introuvable au niveau du suivi des conventions"))</f>
        <v/>
      </c>
      <c r="H515" s="7">
        <f>++IF(Tableau1[[#This Row],[Fournisseur]]="","",C515+G515-1)</f>
        <v/>
      </c>
      <c r="I515" s="8">
        <f>++IF(Tableau1[[#This Row],[Fournisseur]]="","",IF(H515-Tableau1[[#This Row],[Date Paiement Effectif]]&gt;0," ",H515-Tableau1[[#This Row],[Date Paiement Effectif]]))</f>
        <v/>
      </c>
      <c r="J515" s="9">
        <f>++IF(Tableau1[[#This Row],[Fournisseur]]="","",IF(Tableau1[[#This Row],[Date Paiement Effectif]]="","Non encore payée",IF(I515&lt;0,"Attention, paiement hors délais","OK RAS")))</f>
        <v/>
      </c>
      <c r="K515" s="54" t="n">
        <v>46048</v>
      </c>
      <c r="L515" s="54" t="n"/>
      <c r="M515" s="31" t="n"/>
    </row>
    <row r="516" ht="14.25" customHeight="1">
      <c r="B516" s="78" t="n"/>
      <c r="D516" s="77" t="n"/>
      <c r="E516" s="46" t="n"/>
      <c r="F516" s="67" t="n"/>
      <c r="G516" s="2">
        <f>+IF(Tableau1[[#This Row],[Fournisseur]]="","",IFERROR(VLOOKUP(Tableau1[[#This Row],[Fournisseur]],SuiviFrs,2,FALSE),"Vérifier la syntaxe : Fournisseur introuvable au niveau du suivi des conventions"))</f>
        <v/>
      </c>
      <c r="H516" s="7">
        <f>++IF(Tableau1[[#This Row],[Fournisseur]]="","",C516+G516-1)</f>
        <v/>
      </c>
      <c r="I516" s="8">
        <f>++IF(Tableau1[[#This Row],[Fournisseur]]="","",IF(H516-Tableau1[[#This Row],[Date Paiement Effectif]]&gt;0," ",H516-Tableau1[[#This Row],[Date Paiement Effectif]]))</f>
        <v/>
      </c>
      <c r="J516" s="9">
        <f>++IF(Tableau1[[#This Row],[Fournisseur]]="","",IF(Tableau1[[#This Row],[Date Paiement Effectif]]="","Non encore payée",IF(I516&lt;0,"Attention, paiement hors délais","OK RAS")))</f>
        <v/>
      </c>
      <c r="K516" s="54" t="n">
        <v>46048</v>
      </c>
      <c r="L516" s="54" t="n"/>
      <c r="M516" s="31" t="n"/>
    </row>
    <row r="517" ht="14.25" customHeight="1">
      <c r="B517" s="78" t="n"/>
      <c r="D517" s="77" t="n"/>
      <c r="E517" s="46" t="n"/>
      <c r="F517" s="67" t="n"/>
      <c r="G517" s="2">
        <f>+IF(Tableau1[[#This Row],[Fournisseur]]="","",IFERROR(VLOOKUP(Tableau1[[#This Row],[Fournisseur]],SuiviFrs,2,FALSE),"Vérifier la syntaxe : Fournisseur introuvable au niveau du suivi des conventions"))</f>
        <v/>
      </c>
      <c r="H517" s="7">
        <f>++IF(Tableau1[[#This Row],[Fournisseur]]="","",C517+G517-1)</f>
        <v/>
      </c>
      <c r="I517" s="8">
        <f>++IF(Tableau1[[#This Row],[Fournisseur]]="","",IF(H517-Tableau1[[#This Row],[Date Paiement Effectif]]&gt;0," ",H517-Tableau1[[#This Row],[Date Paiement Effectif]]))</f>
        <v/>
      </c>
      <c r="J517" s="9">
        <f>++IF(Tableau1[[#This Row],[Fournisseur]]="","",IF(Tableau1[[#This Row],[Date Paiement Effectif]]="","Non encore payée",IF(I517&lt;0,"Attention, paiement hors délais","OK RAS")))</f>
        <v/>
      </c>
      <c r="K517" s="54" t="n">
        <v>46048</v>
      </c>
      <c r="L517" s="54" t="n"/>
      <c r="M517" s="31" t="n"/>
    </row>
    <row r="518" ht="14.25" customHeight="1">
      <c r="B518" s="78" t="n"/>
      <c r="D518" s="77" t="n"/>
      <c r="E518" s="46" t="n"/>
      <c r="F518" s="67" t="n"/>
      <c r="G518" s="2">
        <f>+IF(Tableau1[[#This Row],[Fournisseur]]="","",IFERROR(VLOOKUP(Tableau1[[#This Row],[Fournisseur]],SuiviFrs,2,FALSE),"Vérifier la syntaxe : Fournisseur introuvable au niveau du suivi des conventions"))</f>
        <v/>
      </c>
      <c r="H518" s="7">
        <f>++IF(Tableau1[[#This Row],[Fournisseur]]="","",C518+G518-1)</f>
        <v/>
      </c>
      <c r="I518" s="8">
        <f>++IF(Tableau1[[#This Row],[Fournisseur]]="","",IF(H518-Tableau1[[#This Row],[Date Paiement Effectif]]&gt;0," ",H518-Tableau1[[#This Row],[Date Paiement Effectif]]))</f>
        <v/>
      </c>
      <c r="J518" s="9">
        <f>++IF(Tableau1[[#This Row],[Fournisseur]]="","",IF(Tableau1[[#This Row],[Date Paiement Effectif]]="","Non encore payée",IF(I518&lt;0,"Attention, paiement hors délais","OK RAS")))</f>
        <v/>
      </c>
      <c r="K518" s="54" t="n">
        <v>46048</v>
      </c>
      <c r="L518" s="54" t="n"/>
      <c r="M518" s="31" t="n"/>
    </row>
    <row r="519" ht="14.25" customHeight="1">
      <c r="B519" s="78" t="n"/>
      <c r="D519" s="77" t="n"/>
      <c r="E519" s="46" t="n"/>
      <c r="F519" s="67" t="n"/>
      <c r="G519" s="2">
        <f>+IF(Tableau1[[#This Row],[Fournisseur]]="","",IFERROR(VLOOKUP(Tableau1[[#This Row],[Fournisseur]],SuiviFrs,2,FALSE),"Vérifier la syntaxe : Fournisseur introuvable au niveau du suivi des conventions"))</f>
        <v/>
      </c>
      <c r="H519" s="7">
        <f>++IF(Tableau1[[#This Row],[Fournisseur]]="","",C519+G519-1)</f>
        <v/>
      </c>
      <c r="I519" s="8">
        <f>++IF(Tableau1[[#This Row],[Fournisseur]]="","",IF(H519-Tableau1[[#This Row],[Date Paiement Effectif]]&gt;0," ",H519-Tableau1[[#This Row],[Date Paiement Effectif]]))</f>
        <v/>
      </c>
      <c r="J519" s="9">
        <f>++IF(Tableau1[[#This Row],[Fournisseur]]="","",IF(Tableau1[[#This Row],[Date Paiement Effectif]]="","Non encore payée",IF(I519&lt;0,"Attention, paiement hors délais","OK RAS")))</f>
        <v/>
      </c>
      <c r="K519" s="54" t="n">
        <v>46048</v>
      </c>
      <c r="L519" s="54" t="n"/>
      <c r="M519" s="31" t="n"/>
    </row>
    <row r="520" ht="14.25" customHeight="1">
      <c r="B520" s="78" t="n"/>
      <c r="D520" s="77" t="n"/>
      <c r="E520" s="46" t="n"/>
      <c r="F520" s="67" t="n"/>
      <c r="G520" s="2">
        <f>+IF(Tableau1[[#This Row],[Fournisseur]]="","",IFERROR(VLOOKUP(Tableau1[[#This Row],[Fournisseur]],SuiviFrs,2,FALSE),"Vérifier la syntaxe : Fournisseur introuvable au niveau du suivi des conventions"))</f>
        <v/>
      </c>
      <c r="H520" s="7">
        <f>++IF(Tableau1[[#This Row],[Fournisseur]]="","",C520+G520-1)</f>
        <v/>
      </c>
      <c r="I520" s="8">
        <f>++IF(Tableau1[[#This Row],[Fournisseur]]="","",IF(H520-Tableau1[[#This Row],[Date Paiement Effectif]]&gt;0," ",H520-Tableau1[[#This Row],[Date Paiement Effectif]]))</f>
        <v/>
      </c>
      <c r="J520" s="9">
        <f>++IF(Tableau1[[#This Row],[Fournisseur]]="","",IF(Tableau1[[#This Row],[Date Paiement Effectif]]="","Non encore payée",IF(I520&lt;0,"Attention, paiement hors délais","OK RAS")))</f>
        <v/>
      </c>
      <c r="K520" s="54" t="n">
        <v>46048</v>
      </c>
      <c r="L520" s="54" t="n"/>
      <c r="M520" s="31" t="n"/>
    </row>
    <row r="521" ht="14.25" customHeight="1">
      <c r="B521" s="78" t="n"/>
      <c r="D521" s="77" t="n"/>
      <c r="E521" s="46" t="n"/>
      <c r="F521" s="67" t="n"/>
      <c r="G521" s="2">
        <f>+IF(Tableau1[[#This Row],[Fournisseur]]="","",IFERROR(VLOOKUP(Tableau1[[#This Row],[Fournisseur]],SuiviFrs,2,FALSE),"Vérifier la syntaxe : Fournisseur introuvable au niveau du suivi des conventions"))</f>
        <v/>
      </c>
      <c r="H521" s="7">
        <f>++IF(Tableau1[[#This Row],[Fournisseur]]="","",C521+G521-1)</f>
        <v/>
      </c>
      <c r="I521" s="8">
        <f>++IF(Tableau1[[#This Row],[Fournisseur]]="","",IF(H521-Tableau1[[#This Row],[Date Paiement Effectif]]&gt;0," ",H521-Tableau1[[#This Row],[Date Paiement Effectif]]))</f>
        <v/>
      </c>
      <c r="J521" s="9">
        <f>++IF(Tableau1[[#This Row],[Fournisseur]]="","",IF(Tableau1[[#This Row],[Date Paiement Effectif]]="","Non encore payée",IF(I521&lt;0,"Attention, paiement hors délais","OK RAS")))</f>
        <v/>
      </c>
      <c r="K521" s="31" t="n"/>
      <c r="L521" s="31" t="n"/>
      <c r="M521" s="31" t="n"/>
    </row>
    <row r="522" ht="14.25" customHeight="1">
      <c r="B522" s="78" t="n"/>
      <c r="D522" s="77" t="n"/>
      <c r="E522" s="46" t="n"/>
      <c r="F522" s="67" t="n"/>
      <c r="G522" s="2">
        <f>+IF(Tableau1[[#This Row],[Fournisseur]]="","",IFERROR(VLOOKUP(Tableau1[[#This Row],[Fournisseur]],SuiviFrs,2,FALSE),"Vérifier la syntaxe : Fournisseur introuvable au niveau du suivi des conventions"))</f>
        <v/>
      </c>
      <c r="H522" s="7">
        <f>++IF(Tableau1[[#This Row],[Fournisseur]]="","",C522+G522-1)</f>
        <v/>
      </c>
      <c r="I522" s="8">
        <f>++IF(Tableau1[[#This Row],[Fournisseur]]="","",IF(H522-Tableau1[[#This Row],[Date Paiement Effectif]]&gt;0," ",H522-Tableau1[[#This Row],[Date Paiement Effectif]]))</f>
        <v/>
      </c>
      <c r="J522" s="9">
        <f>++IF(Tableau1[[#This Row],[Fournisseur]]="","",IF(Tableau1[[#This Row],[Date Paiement Effectif]]="","Non encore payée",IF(I522&lt;0,"Attention, paiement hors délais","OK RAS")))</f>
        <v/>
      </c>
      <c r="K522" s="31" t="n"/>
      <c r="L522" s="31" t="n"/>
      <c r="M522" s="31" t="n"/>
    </row>
    <row r="523" ht="14.25" customHeight="1">
      <c r="B523" s="78" t="n"/>
      <c r="D523" s="77" t="n"/>
      <c r="E523" s="46" t="n"/>
      <c r="F523" s="67" t="n"/>
      <c r="G523" s="2">
        <f>+IF(Tableau1[[#This Row],[Fournisseur]]="","",IFERROR(VLOOKUP(Tableau1[[#This Row],[Fournisseur]],SuiviFrs,2,FALSE),"Vérifier la syntaxe : Fournisseur introuvable au niveau du suivi des conventions"))</f>
        <v/>
      </c>
      <c r="H523" s="7">
        <f>++IF(Tableau1[[#This Row],[Fournisseur]]="","",C523+G523-1)</f>
        <v/>
      </c>
      <c r="I523" s="8">
        <f>++IF(Tableau1[[#This Row],[Fournisseur]]="","",IF(H523-Tableau1[[#This Row],[Date Paiement Effectif]]&gt;0," ",H523-Tableau1[[#This Row],[Date Paiement Effectif]]))</f>
        <v/>
      </c>
      <c r="J523" s="9">
        <f>++IF(Tableau1[[#This Row],[Fournisseur]]="","",IF(Tableau1[[#This Row],[Date Paiement Effectif]]="","Non encore payée",IF(I523&lt;0,"Attention, paiement hors délais","OK RAS")))</f>
        <v/>
      </c>
      <c r="K523" s="31" t="n"/>
      <c r="L523" s="31" t="n"/>
      <c r="M523" s="31" t="n"/>
    </row>
    <row r="524" ht="14.25" customHeight="1">
      <c r="B524" s="78" t="n"/>
      <c r="D524" s="77" t="n"/>
      <c r="E524" s="46" t="n"/>
      <c r="F524" s="67" t="n"/>
      <c r="G524" s="2">
        <f>+IF(Tableau1[[#This Row],[Fournisseur]]="","",IFERROR(VLOOKUP(Tableau1[[#This Row],[Fournisseur]],SuiviFrs,2,FALSE),"Vérifier la syntaxe : Fournisseur introuvable au niveau du suivi des conventions"))</f>
        <v/>
      </c>
      <c r="H524" s="7">
        <f>++IF(Tableau1[[#This Row],[Fournisseur]]="","",C524+G524-1)</f>
        <v/>
      </c>
      <c r="I524" s="8">
        <f>++IF(Tableau1[[#This Row],[Fournisseur]]="","",IF(H524-Tableau1[[#This Row],[Date Paiement Effectif]]&gt;0," ",H524-Tableau1[[#This Row],[Date Paiement Effectif]]))</f>
        <v/>
      </c>
      <c r="J524" s="9">
        <f>++IF(Tableau1[[#This Row],[Fournisseur]]="","",IF(Tableau1[[#This Row],[Date Paiement Effectif]]="","Non encore payée",IF(I524&lt;0,"Attention, paiement hors délais","OK RAS")))</f>
        <v/>
      </c>
      <c r="K524" s="31" t="n"/>
      <c r="L524" s="31" t="n"/>
      <c r="M524" s="31" t="n"/>
    </row>
    <row r="525" ht="14.25" customHeight="1">
      <c r="B525" s="78" t="n"/>
      <c r="D525" s="77" t="n"/>
      <c r="E525" s="46" t="n"/>
      <c r="F525" s="67" t="n"/>
      <c r="G525" s="2">
        <f>+IF(Tableau1[[#This Row],[Fournisseur]]="","",IFERROR(VLOOKUP(Tableau1[[#This Row],[Fournisseur]],SuiviFrs,2,FALSE),"Vérifier la syntaxe : Fournisseur introuvable au niveau du suivi des conventions"))</f>
        <v/>
      </c>
      <c r="H525" s="7">
        <f>++IF(Tableau1[[#This Row],[Fournisseur]]="","",C525+G525-1)</f>
        <v/>
      </c>
      <c r="I525" s="8">
        <f>++IF(Tableau1[[#This Row],[Fournisseur]]="","",IF(H525-Tableau1[[#This Row],[Date Paiement Effectif]]&gt;0," ",H525-Tableau1[[#This Row],[Date Paiement Effectif]]))</f>
        <v/>
      </c>
      <c r="J525" s="9">
        <f>++IF(Tableau1[[#This Row],[Fournisseur]]="","",IF(Tableau1[[#This Row],[Date Paiement Effectif]]="","Non encore payée",IF(I525&lt;0,"Attention, paiement hors délais","OK RAS")))</f>
        <v/>
      </c>
      <c r="K525" s="31" t="n"/>
      <c r="L525" s="31" t="n"/>
      <c r="M525" s="31" t="n"/>
    </row>
    <row r="526" ht="14.25" customHeight="1">
      <c r="B526" s="78" t="n"/>
      <c r="D526" s="77" t="n"/>
      <c r="E526" s="46" t="n"/>
      <c r="F526" s="67" t="n"/>
      <c r="G526" s="2">
        <f>+IF(Tableau1[[#This Row],[Fournisseur]]="","",IFERROR(VLOOKUP(Tableau1[[#This Row],[Fournisseur]],SuiviFrs,2,FALSE),"Vérifier la syntaxe : Fournisseur introuvable au niveau du suivi des conventions"))</f>
        <v/>
      </c>
      <c r="H526" s="7">
        <f>++IF(Tableau1[[#This Row],[Fournisseur]]="","",C526+G526-1)</f>
        <v/>
      </c>
      <c r="I526" s="8">
        <f>++IF(Tableau1[[#This Row],[Fournisseur]]="","",IF(H526-Tableau1[[#This Row],[Date Paiement Effectif]]&gt;0," ",H526-Tableau1[[#This Row],[Date Paiement Effectif]]))</f>
        <v/>
      </c>
      <c r="J526" s="9">
        <f>++IF(Tableau1[[#This Row],[Fournisseur]]="","",IF(Tableau1[[#This Row],[Date Paiement Effectif]]="","Non encore payée",IF(I526&lt;0,"Attention, paiement hors délais","OK RAS")))</f>
        <v/>
      </c>
      <c r="K526" s="31" t="n"/>
      <c r="L526" s="31" t="n"/>
      <c r="M526" s="31" t="n"/>
    </row>
    <row r="527" ht="14.25" customHeight="1">
      <c r="B527" s="78" t="n"/>
      <c r="D527" s="77" t="n"/>
      <c r="E527" s="46" t="n"/>
      <c r="F527" s="67" t="n"/>
      <c r="G527" s="2">
        <f>+IF(Tableau1[[#This Row],[Fournisseur]]="","",IFERROR(VLOOKUP(Tableau1[[#This Row],[Fournisseur]],SuiviFrs,2,FALSE),"Vérifier la syntaxe : Fournisseur introuvable au niveau du suivi des conventions"))</f>
        <v/>
      </c>
      <c r="H527" s="7">
        <f>++IF(Tableau1[[#This Row],[Fournisseur]]="","",C527+G527-1)</f>
        <v/>
      </c>
      <c r="I527" s="8">
        <f>++IF(Tableau1[[#This Row],[Fournisseur]]="","",IF(H527-Tableau1[[#This Row],[Date Paiement Effectif]]&gt;0," ",H527-Tableau1[[#This Row],[Date Paiement Effectif]]))</f>
        <v/>
      </c>
      <c r="J527" s="9">
        <f>++IF(Tableau1[[#This Row],[Fournisseur]]="","",IF(Tableau1[[#This Row],[Date Paiement Effectif]]="","Non encore payée",IF(I527&lt;0,"Attention, paiement hors délais","OK RAS")))</f>
        <v/>
      </c>
      <c r="K527" s="31" t="n"/>
      <c r="L527" s="31" t="n"/>
      <c r="M527" s="31" t="n"/>
    </row>
    <row r="528" ht="14.25" customHeight="1">
      <c r="B528" s="78" t="n"/>
      <c r="D528" s="77" t="n"/>
      <c r="E528" s="46" t="n"/>
      <c r="F528" s="67" t="n"/>
      <c r="G528" s="2">
        <f>+IF(Tableau1[[#This Row],[Fournisseur]]="","",IFERROR(VLOOKUP(Tableau1[[#This Row],[Fournisseur]],SuiviFrs,2,FALSE),"Vérifier la syntaxe : Fournisseur introuvable au niveau du suivi des conventions"))</f>
        <v/>
      </c>
      <c r="H528" s="7">
        <f>++IF(Tableau1[[#This Row],[Fournisseur]]="","",C528+G528-1)</f>
        <v/>
      </c>
      <c r="I528" s="8">
        <f>++IF(Tableau1[[#This Row],[Fournisseur]]="","",IF(H528-Tableau1[[#This Row],[Date Paiement Effectif]]&gt;0," ",H528-Tableau1[[#This Row],[Date Paiement Effectif]]))</f>
        <v/>
      </c>
      <c r="J528" s="9">
        <f>++IF(Tableau1[[#This Row],[Fournisseur]]="","",IF(Tableau1[[#This Row],[Date Paiement Effectif]]="","Non encore payée",IF(I528&lt;0,"Attention, paiement hors délais","OK RAS")))</f>
        <v/>
      </c>
      <c r="K528" s="31" t="n"/>
      <c r="L528" s="31" t="n"/>
      <c r="M528" s="31" t="n"/>
    </row>
    <row r="529" ht="14.25" customHeight="1">
      <c r="B529" s="78" t="n"/>
      <c r="D529" s="77" t="n"/>
      <c r="E529" s="46" t="n"/>
      <c r="F529" s="67" t="n"/>
      <c r="G529" s="2">
        <f>+IF(Tableau1[[#This Row],[Fournisseur]]="","",IFERROR(VLOOKUP(Tableau1[[#This Row],[Fournisseur]],SuiviFrs,2,FALSE),"Vérifier la syntaxe : Fournisseur introuvable au niveau du suivi des conventions"))</f>
        <v/>
      </c>
      <c r="H529" s="7">
        <f>++IF(Tableau1[[#This Row],[Fournisseur]]="","",C529+G529-1)</f>
        <v/>
      </c>
      <c r="I529" s="8">
        <f>++IF(Tableau1[[#This Row],[Fournisseur]]="","",IF(H529-Tableau1[[#This Row],[Date Paiement Effectif]]&gt;0," ",H529-Tableau1[[#This Row],[Date Paiement Effectif]]))</f>
        <v/>
      </c>
      <c r="J529" s="9">
        <f>++IF(Tableau1[[#This Row],[Fournisseur]]="","",IF(Tableau1[[#This Row],[Date Paiement Effectif]]="","Non encore payée",IF(I529&lt;0,"Attention, paiement hors délais","OK RAS")))</f>
        <v/>
      </c>
      <c r="K529" s="31" t="n"/>
      <c r="L529" s="31" t="n"/>
      <c r="M529" s="31" t="n"/>
    </row>
    <row r="530" ht="14.25" customHeight="1">
      <c r="B530" s="78" t="n"/>
      <c r="D530" s="77" t="n"/>
      <c r="E530" s="46" t="n"/>
      <c r="F530" s="67" t="n"/>
      <c r="G530" s="2">
        <f>+IF(Tableau1[[#This Row],[Fournisseur]]="","",IFERROR(VLOOKUP(Tableau1[[#This Row],[Fournisseur]],SuiviFrs,2,FALSE),"Vérifier la syntaxe : Fournisseur introuvable au niveau du suivi des conventions"))</f>
        <v/>
      </c>
      <c r="H530" s="7">
        <f>++IF(Tableau1[[#This Row],[Fournisseur]]="","",C530+G530-1)</f>
        <v/>
      </c>
      <c r="I530" s="8">
        <f>++IF(Tableau1[[#This Row],[Fournisseur]]="","",IF(H530-Tableau1[[#This Row],[Date Paiement Effectif]]&gt;0," ",H530-Tableau1[[#This Row],[Date Paiement Effectif]]))</f>
        <v/>
      </c>
      <c r="J530" s="9">
        <f>++IF(Tableau1[[#This Row],[Fournisseur]]="","",IF(Tableau1[[#This Row],[Date Paiement Effectif]]="","Non encore payée",IF(I530&lt;0,"Attention, paiement hors délais","OK RAS")))</f>
        <v/>
      </c>
      <c r="K530" s="31" t="n"/>
      <c r="L530" s="31" t="n"/>
      <c r="M530" s="31" t="n"/>
    </row>
    <row r="531" ht="14.25" customHeight="1">
      <c r="B531" s="78" t="n"/>
      <c r="D531" s="77" t="n"/>
      <c r="E531" s="46" t="n"/>
      <c r="F531" s="67" t="n"/>
      <c r="G531" s="2">
        <f>+IF(Tableau1[[#This Row],[Fournisseur]]="","",IFERROR(VLOOKUP(Tableau1[[#This Row],[Fournisseur]],SuiviFrs,2,FALSE),"Vérifier la syntaxe : Fournisseur introuvable au niveau du suivi des conventions"))</f>
        <v/>
      </c>
      <c r="H531" s="7">
        <f>++IF(Tableau1[[#This Row],[Fournisseur]]="","",C531+G531-1)</f>
        <v/>
      </c>
      <c r="I531" s="8">
        <f>++IF(Tableau1[[#This Row],[Fournisseur]]="","",IF(H531-Tableau1[[#This Row],[Date Paiement Effectif]]&gt;0," ",H531-Tableau1[[#This Row],[Date Paiement Effectif]]))</f>
        <v/>
      </c>
      <c r="J531" s="9">
        <f>++IF(Tableau1[[#This Row],[Fournisseur]]="","",IF(Tableau1[[#This Row],[Date Paiement Effectif]]="","Non encore payée",IF(I531&lt;0,"Attention, paiement hors délais","OK RAS")))</f>
        <v/>
      </c>
      <c r="K531" s="31" t="n"/>
      <c r="L531" s="31" t="n"/>
      <c r="M531" s="31" t="n"/>
    </row>
    <row r="532" ht="14.25" customHeight="1">
      <c r="B532" s="78" t="n"/>
      <c r="D532" s="77" t="n"/>
      <c r="E532" s="46" t="n"/>
      <c r="F532" s="67" t="n"/>
      <c r="G532" s="2">
        <f>+IF(Tableau1[[#This Row],[Fournisseur]]="","",IFERROR(VLOOKUP(Tableau1[[#This Row],[Fournisseur]],SuiviFrs,2,FALSE),"Vérifier la syntaxe : Fournisseur introuvable au niveau du suivi des conventions"))</f>
        <v/>
      </c>
      <c r="H532" s="7">
        <f>++IF(Tableau1[[#This Row],[Fournisseur]]="","",C532+G532-1)</f>
        <v/>
      </c>
      <c r="I532" s="8">
        <f>++IF(Tableau1[[#This Row],[Fournisseur]]="","",IF(H532-Tableau1[[#This Row],[Date Paiement Effectif]]&gt;0," ",H532-Tableau1[[#This Row],[Date Paiement Effectif]]))</f>
        <v/>
      </c>
      <c r="J532" s="9">
        <f>++IF(Tableau1[[#This Row],[Fournisseur]]="","",IF(Tableau1[[#This Row],[Date Paiement Effectif]]="","Non encore payée",IF(I532&lt;0,"Attention, paiement hors délais","OK RAS")))</f>
        <v/>
      </c>
      <c r="K532" s="31" t="n"/>
      <c r="L532" s="31" t="n"/>
      <c r="M532" s="31" t="n"/>
    </row>
    <row r="533" ht="14.25" customHeight="1">
      <c r="B533" s="78" t="n"/>
      <c r="D533" s="77" t="n"/>
      <c r="E533" s="46" t="n"/>
      <c r="F533" s="67" t="n"/>
      <c r="G533" s="2">
        <f>+IF(Tableau1[[#This Row],[Fournisseur]]="","",IFERROR(VLOOKUP(Tableau1[[#This Row],[Fournisseur]],SuiviFrs,2,FALSE),"Vérifier la syntaxe : Fournisseur introuvable au niveau du suivi des conventions"))</f>
        <v/>
      </c>
      <c r="H533" s="7">
        <f>++IF(Tableau1[[#This Row],[Fournisseur]]="","",C533+G533-1)</f>
        <v/>
      </c>
      <c r="I533" s="8">
        <f>++IF(Tableau1[[#This Row],[Fournisseur]]="","",IF(H533-Tableau1[[#This Row],[Date Paiement Effectif]]&gt;0," ",H533-Tableau1[[#This Row],[Date Paiement Effectif]]))</f>
        <v/>
      </c>
      <c r="J533" s="9">
        <f>++IF(Tableau1[[#This Row],[Fournisseur]]="","",IF(Tableau1[[#This Row],[Date Paiement Effectif]]="","Non encore payée",IF(I533&lt;0,"Attention, paiement hors délais","OK RAS")))</f>
        <v/>
      </c>
      <c r="K533" s="31" t="n"/>
      <c r="L533" s="31" t="n"/>
      <c r="M533" s="31" t="n"/>
    </row>
    <row r="534" ht="14.25" customHeight="1">
      <c r="B534" s="78" t="n"/>
      <c r="D534" s="77" t="n"/>
      <c r="E534" s="46" t="n"/>
      <c r="F534" s="67" t="n"/>
      <c r="G534" s="2">
        <f>+IF(Tableau1[[#This Row],[Fournisseur]]="","",IFERROR(VLOOKUP(Tableau1[[#This Row],[Fournisseur]],SuiviFrs,2,FALSE),"Vérifier la syntaxe : Fournisseur introuvable au niveau du suivi des conventions"))</f>
        <v/>
      </c>
      <c r="H534" s="7">
        <f>++IF(Tableau1[[#This Row],[Fournisseur]]="","",C534+G534-1)</f>
        <v/>
      </c>
      <c r="I534" s="8">
        <f>++IF(Tableau1[[#This Row],[Fournisseur]]="","",IF(H534-Tableau1[[#This Row],[Date Paiement Effectif]]&gt;0," ",H534-Tableau1[[#This Row],[Date Paiement Effectif]]))</f>
        <v/>
      </c>
      <c r="J534" s="9">
        <f>++IF(Tableau1[[#This Row],[Fournisseur]]="","",IF(Tableau1[[#This Row],[Date Paiement Effectif]]="","Non encore payée",IF(I534&lt;0,"Attention, paiement hors délais","OK RAS")))</f>
        <v/>
      </c>
      <c r="K534" s="31" t="n"/>
      <c r="L534" s="31" t="n"/>
      <c r="M534" s="31" t="n"/>
    </row>
    <row r="535" ht="14.25" customHeight="1">
      <c r="B535" s="78" t="n"/>
      <c r="D535" s="77" t="n"/>
      <c r="E535" s="46" t="n"/>
      <c r="F535" s="67" t="n"/>
      <c r="G535" s="2">
        <f>+IF(Tableau1[[#This Row],[Fournisseur]]="","",IFERROR(VLOOKUP(Tableau1[[#This Row],[Fournisseur]],SuiviFrs,2,FALSE),"Vérifier la syntaxe : Fournisseur introuvable au niveau du suivi des conventions"))</f>
        <v/>
      </c>
      <c r="H535" s="7">
        <f>++IF(Tableau1[[#This Row],[Fournisseur]]="","",C535+G535-1)</f>
        <v/>
      </c>
      <c r="I535" s="8">
        <f>++IF(Tableau1[[#This Row],[Fournisseur]]="","",IF(H535-Tableau1[[#This Row],[Date Paiement Effectif]]&gt;0," ",H535-Tableau1[[#This Row],[Date Paiement Effectif]]))</f>
        <v/>
      </c>
      <c r="J535" s="9">
        <f>++IF(Tableau1[[#This Row],[Fournisseur]]="","",IF(Tableau1[[#This Row],[Date Paiement Effectif]]="","Non encore payée",IF(I535&lt;0,"Attention, paiement hors délais","OK RAS")))</f>
        <v/>
      </c>
      <c r="K535" s="31" t="n"/>
      <c r="L535" s="31" t="n"/>
      <c r="M535" s="31" t="n"/>
    </row>
    <row r="536" ht="14.25" customHeight="1">
      <c r="B536" s="78" t="n"/>
      <c r="D536" s="77" t="n"/>
      <c r="E536" s="46" t="n"/>
      <c r="F536" s="67" t="n"/>
      <c r="G536" s="2">
        <f>+IF(Tableau1[[#This Row],[Fournisseur]]="","",IFERROR(VLOOKUP(Tableau1[[#This Row],[Fournisseur]],SuiviFrs,2,FALSE),"Vérifier la syntaxe : Fournisseur introuvable au niveau du suivi des conventions"))</f>
        <v/>
      </c>
      <c r="H536" s="7">
        <f>++IF(Tableau1[[#This Row],[Fournisseur]]="","",C536+G536-1)</f>
        <v/>
      </c>
      <c r="I536" s="8">
        <f>++IF(Tableau1[[#This Row],[Fournisseur]]="","",IF(H536-Tableau1[[#This Row],[Date Paiement Effectif]]&gt;0," ",H536-Tableau1[[#This Row],[Date Paiement Effectif]]))</f>
        <v/>
      </c>
      <c r="J536" s="9">
        <f>++IF(Tableau1[[#This Row],[Fournisseur]]="","",IF(Tableau1[[#This Row],[Date Paiement Effectif]]="","Non encore payée",IF(I536&lt;0,"Attention, paiement hors délais","OK RAS")))</f>
        <v/>
      </c>
      <c r="K536" s="31" t="n"/>
      <c r="L536" s="31" t="n"/>
      <c r="M536" s="31" t="n"/>
    </row>
    <row r="537" ht="14.25" customHeight="1">
      <c r="B537" s="78" t="n"/>
      <c r="D537" s="77" t="n"/>
      <c r="E537" s="46" t="n"/>
      <c r="F537" s="67" t="n"/>
      <c r="G537" s="2">
        <f>+IF(Tableau1[[#This Row],[Fournisseur]]="","",IFERROR(VLOOKUP(Tableau1[[#This Row],[Fournisseur]],SuiviFrs,2,FALSE),"Vérifier la syntaxe : Fournisseur introuvable au niveau du suivi des conventions"))</f>
        <v/>
      </c>
      <c r="H537" s="7">
        <f>++IF(Tableau1[[#This Row],[Fournisseur]]="","",C537+G537-1)</f>
        <v/>
      </c>
      <c r="I537" s="8">
        <f>++IF(Tableau1[[#This Row],[Fournisseur]]="","",IF(H537-Tableau1[[#This Row],[Date Paiement Effectif]]&gt;0," ",H537-Tableau1[[#This Row],[Date Paiement Effectif]]))</f>
        <v/>
      </c>
      <c r="J537" s="9">
        <f>++IF(Tableau1[[#This Row],[Fournisseur]]="","",IF(Tableau1[[#This Row],[Date Paiement Effectif]]="","Non encore payée",IF(I537&lt;0,"Attention, paiement hors délais","OK RAS")))</f>
        <v/>
      </c>
      <c r="K537" s="31" t="n"/>
      <c r="L537" s="31" t="n"/>
      <c r="M537" s="31" t="n"/>
    </row>
    <row r="538" ht="14.25" customHeight="1">
      <c r="B538" s="78" t="n"/>
      <c r="D538" s="77" t="n"/>
      <c r="E538" s="46" t="n"/>
      <c r="F538" s="67" t="n"/>
      <c r="G538" s="2">
        <f>+IF(Tableau1[[#This Row],[Fournisseur]]="","",IFERROR(VLOOKUP(Tableau1[[#This Row],[Fournisseur]],SuiviFrs,2,FALSE),"Vérifier la syntaxe : Fournisseur introuvable au niveau du suivi des conventions"))</f>
        <v/>
      </c>
      <c r="H538" s="7">
        <f>++IF(Tableau1[[#This Row],[Fournisseur]]="","",C538+G538-1)</f>
        <v/>
      </c>
      <c r="I538" s="8">
        <f>++IF(Tableau1[[#This Row],[Fournisseur]]="","",IF(H538-Tableau1[[#This Row],[Date Paiement Effectif]]&gt;0," ",H538-Tableau1[[#This Row],[Date Paiement Effectif]]))</f>
        <v/>
      </c>
      <c r="J538" s="9">
        <f>++IF(Tableau1[[#This Row],[Fournisseur]]="","",IF(Tableau1[[#This Row],[Date Paiement Effectif]]="","Non encore payée",IF(I538&lt;0,"Attention, paiement hors délais","OK RAS")))</f>
        <v/>
      </c>
      <c r="K538" s="31" t="n"/>
      <c r="L538" s="31" t="n"/>
      <c r="M538" s="31" t="n"/>
    </row>
    <row r="539" ht="14.25" customHeight="1">
      <c r="B539" s="78" t="n"/>
      <c r="D539" s="77" t="n"/>
      <c r="E539" s="46" t="n"/>
      <c r="F539" s="67" t="n"/>
      <c r="G539" s="2">
        <f>+IF(Tableau1[[#This Row],[Fournisseur]]="","",IFERROR(VLOOKUP(Tableau1[[#This Row],[Fournisseur]],SuiviFrs,2,FALSE),"Vérifier la syntaxe : Fournisseur introuvable au niveau du suivi des conventions"))</f>
        <v/>
      </c>
      <c r="H539" s="7">
        <f>++IF(Tableau1[[#This Row],[Fournisseur]]="","",C539+G539-1)</f>
        <v/>
      </c>
      <c r="I539" s="8">
        <f>++IF(Tableau1[[#This Row],[Fournisseur]]="","",IF(H539-Tableau1[[#This Row],[Date Paiement Effectif]]&gt;0," ",H539-Tableau1[[#This Row],[Date Paiement Effectif]]))</f>
        <v/>
      </c>
      <c r="J539" s="9">
        <f>++IF(Tableau1[[#This Row],[Fournisseur]]="","",IF(Tableau1[[#This Row],[Date Paiement Effectif]]="","Non encore payée",IF(I539&lt;0,"Attention, paiement hors délais","OK RAS")))</f>
        <v/>
      </c>
      <c r="K539" s="31" t="n"/>
      <c r="L539" s="31" t="n"/>
      <c r="M539" s="31" t="n"/>
    </row>
    <row r="540" ht="14.25" customHeight="1">
      <c r="B540" s="78" t="n"/>
      <c r="D540" s="77" t="n"/>
      <c r="E540" s="46" t="n"/>
      <c r="F540" s="67" t="n"/>
      <c r="G540" s="2">
        <f>+IF(Tableau1[[#This Row],[Fournisseur]]="","",IFERROR(VLOOKUP(Tableau1[[#This Row],[Fournisseur]],SuiviFrs,2,FALSE),"Vérifier la syntaxe : Fournisseur introuvable au niveau du suivi des conventions"))</f>
        <v/>
      </c>
      <c r="H540" s="7">
        <f>++IF(Tableau1[[#This Row],[Fournisseur]]="","",C540+G540-1)</f>
        <v/>
      </c>
      <c r="I540" s="8">
        <f>++IF(Tableau1[[#This Row],[Fournisseur]]="","",IF(H540-Tableau1[[#This Row],[Date Paiement Effectif]]&gt;0," ",H540-Tableau1[[#This Row],[Date Paiement Effectif]]))</f>
        <v/>
      </c>
      <c r="J540" s="9">
        <f>++IF(Tableau1[[#This Row],[Fournisseur]]="","",IF(Tableau1[[#This Row],[Date Paiement Effectif]]="","Non encore payée",IF(I540&lt;0,"Attention, paiement hors délais","OK RAS")))</f>
        <v/>
      </c>
      <c r="K540" s="31" t="n"/>
      <c r="L540" s="31" t="n"/>
      <c r="M540" s="31" t="n"/>
    </row>
    <row r="541" ht="14.25" customHeight="1">
      <c r="B541" s="78" t="n"/>
      <c r="D541" s="77" t="n"/>
      <c r="E541" s="46" t="n"/>
      <c r="F541" s="67" t="n"/>
      <c r="G541" s="2">
        <f>+IF(Tableau1[[#This Row],[Fournisseur]]="","",IFERROR(VLOOKUP(Tableau1[[#This Row],[Fournisseur]],SuiviFrs,2,FALSE),"Vérifier la syntaxe : Fournisseur introuvable au niveau du suivi des conventions"))</f>
        <v/>
      </c>
      <c r="H541" s="7">
        <f>++IF(Tableau1[[#This Row],[Fournisseur]]="","",C541+G541-1)</f>
        <v/>
      </c>
      <c r="I541" s="8">
        <f>++IF(Tableau1[[#This Row],[Fournisseur]]="","",IF(H541-Tableau1[[#This Row],[Date Paiement Effectif]]&gt;0," ",H541-Tableau1[[#This Row],[Date Paiement Effectif]]))</f>
        <v/>
      </c>
      <c r="J541" s="9">
        <f>++IF(Tableau1[[#This Row],[Fournisseur]]="","",IF(Tableau1[[#This Row],[Date Paiement Effectif]]="","Non encore payée",IF(I541&lt;0,"Attention, paiement hors délais","OK RAS")))</f>
        <v/>
      </c>
      <c r="K541" s="31" t="n"/>
      <c r="L541" s="31" t="n"/>
      <c r="M541" s="31" t="n"/>
    </row>
    <row r="542" ht="14.25" customHeight="1">
      <c r="B542" s="78" t="n"/>
      <c r="D542" s="77" t="n"/>
      <c r="E542" s="46" t="n"/>
      <c r="F542" s="67" t="n"/>
      <c r="G542" s="2">
        <f>+IF(Tableau1[[#This Row],[Fournisseur]]="","",IFERROR(VLOOKUP(Tableau1[[#This Row],[Fournisseur]],SuiviFrs,2,FALSE),"Vérifier la syntaxe : Fournisseur introuvable au niveau du suivi des conventions"))</f>
        <v/>
      </c>
      <c r="H542" s="7">
        <f>++IF(Tableau1[[#This Row],[Fournisseur]]="","",C542+G542-1)</f>
        <v/>
      </c>
      <c r="I542" s="8">
        <f>++IF(Tableau1[[#This Row],[Fournisseur]]="","",IF(H542-Tableau1[[#This Row],[Date Paiement Effectif]]&gt;0," ",H542-Tableau1[[#This Row],[Date Paiement Effectif]]))</f>
        <v/>
      </c>
      <c r="J542" s="9">
        <f>++IF(Tableau1[[#This Row],[Fournisseur]]="","",IF(Tableau1[[#This Row],[Date Paiement Effectif]]="","Non encore payée",IF(I542&lt;0,"Attention, paiement hors délais","OK RAS")))</f>
        <v/>
      </c>
      <c r="K542" s="31" t="n"/>
      <c r="L542" s="31" t="n"/>
      <c r="M542" s="31" t="n"/>
    </row>
    <row r="543" ht="14.25" customHeight="1">
      <c r="B543" s="78" t="n"/>
      <c r="D543" s="77" t="n"/>
      <c r="E543" s="46" t="n"/>
      <c r="F543" s="67" t="n"/>
      <c r="G543" s="2">
        <f>+IF(Tableau1[[#This Row],[Fournisseur]]="","",IFERROR(VLOOKUP(Tableau1[[#This Row],[Fournisseur]],SuiviFrs,2,FALSE),"Vérifier la syntaxe : Fournisseur introuvable au niveau du suivi des conventions"))</f>
        <v/>
      </c>
      <c r="H543" s="7">
        <f>++IF(Tableau1[[#This Row],[Fournisseur]]="","",C543+G543-1)</f>
        <v/>
      </c>
      <c r="I543" s="8">
        <f>++IF(Tableau1[[#This Row],[Fournisseur]]="","",IF(H543-Tableau1[[#This Row],[Date Paiement Effectif]]&gt;0," ",H543-Tableau1[[#This Row],[Date Paiement Effectif]]))</f>
        <v/>
      </c>
      <c r="J543" s="9">
        <f>++IF(Tableau1[[#This Row],[Fournisseur]]="","",IF(Tableau1[[#This Row],[Date Paiement Effectif]]="","Non encore payée",IF(I543&lt;0,"Attention, paiement hors délais","OK RAS")))</f>
        <v/>
      </c>
      <c r="K543" s="31" t="n"/>
      <c r="L543" s="31" t="n"/>
      <c r="M543" s="31" t="n"/>
    </row>
    <row r="544" ht="14.25" customHeight="1">
      <c r="B544" s="78" t="n"/>
      <c r="D544" s="77" t="n"/>
      <c r="E544" s="46" t="n"/>
      <c r="F544" s="67" t="n"/>
      <c r="G544" s="2">
        <f>+IF(Tableau1[[#This Row],[Fournisseur]]="","",IFERROR(VLOOKUP(Tableau1[[#This Row],[Fournisseur]],SuiviFrs,2,FALSE),"Vérifier la syntaxe : Fournisseur introuvable au niveau du suivi des conventions"))</f>
        <v/>
      </c>
      <c r="H544" s="7">
        <f>++IF(Tableau1[[#This Row],[Fournisseur]]="","",C544+G544-1)</f>
        <v/>
      </c>
      <c r="I544" s="8">
        <f>++IF(Tableau1[[#This Row],[Fournisseur]]="","",IF(H544-Tableau1[[#This Row],[Date Paiement Effectif]]&gt;0," ",H544-Tableau1[[#This Row],[Date Paiement Effectif]]))</f>
        <v/>
      </c>
      <c r="J544" s="9">
        <f>++IF(Tableau1[[#This Row],[Fournisseur]]="","",IF(Tableau1[[#This Row],[Date Paiement Effectif]]="","Non encore payée",IF(I544&lt;0,"Attention, paiement hors délais","OK RAS")))</f>
        <v/>
      </c>
      <c r="K544" s="31" t="n"/>
      <c r="L544" s="31" t="n"/>
      <c r="M544" s="31" t="n"/>
    </row>
    <row r="545" ht="14.25" customHeight="1">
      <c r="B545" s="78" t="n"/>
      <c r="D545" s="77" t="n"/>
      <c r="E545" s="46" t="n"/>
      <c r="F545" s="67" t="n"/>
      <c r="G545" s="2">
        <f>+IF(Tableau1[[#This Row],[Fournisseur]]="","",IFERROR(VLOOKUP(Tableau1[[#This Row],[Fournisseur]],SuiviFrs,2,FALSE),"Vérifier la syntaxe : Fournisseur introuvable au niveau du suivi des conventions"))</f>
        <v/>
      </c>
      <c r="H545" s="7">
        <f>++IF(Tableau1[[#This Row],[Fournisseur]]="","",C545+G545-1)</f>
        <v/>
      </c>
      <c r="I545" s="8">
        <f>++IF(Tableau1[[#This Row],[Fournisseur]]="","",IF(H545-Tableau1[[#This Row],[Date Paiement Effectif]]&gt;0," ",H545-Tableau1[[#This Row],[Date Paiement Effectif]]))</f>
        <v/>
      </c>
      <c r="J545" s="9">
        <f>++IF(Tableau1[[#This Row],[Fournisseur]]="","",IF(Tableau1[[#This Row],[Date Paiement Effectif]]="","Non encore payée",IF(I545&lt;0,"Attention, paiement hors délais","OK RAS")))</f>
        <v/>
      </c>
      <c r="K545" s="31" t="n"/>
      <c r="L545" s="31" t="n"/>
      <c r="M545" s="31" t="n"/>
    </row>
    <row r="546" ht="14.25" customHeight="1">
      <c r="B546" s="78" t="n"/>
      <c r="D546" s="77" t="n"/>
      <c r="E546" s="46" t="n"/>
      <c r="F546" s="67" t="n"/>
      <c r="G546" s="2">
        <f>+IF(Tableau1[[#This Row],[Fournisseur]]="","",IFERROR(VLOOKUP(Tableau1[[#This Row],[Fournisseur]],SuiviFrs,2,FALSE),"Vérifier la syntaxe : Fournisseur introuvable au niveau du suivi des conventions"))</f>
        <v/>
      </c>
      <c r="H546" s="7">
        <f>++IF(Tableau1[[#This Row],[Fournisseur]]="","",C546+G546-1)</f>
        <v/>
      </c>
      <c r="I546" s="8">
        <f>++IF(Tableau1[[#This Row],[Fournisseur]]="","",IF(H546-Tableau1[[#This Row],[Date Paiement Effectif]]&gt;0," ",H546-Tableau1[[#This Row],[Date Paiement Effectif]]))</f>
        <v/>
      </c>
      <c r="J546" s="9">
        <f>++IF(Tableau1[[#This Row],[Fournisseur]]="","",IF(Tableau1[[#This Row],[Date Paiement Effectif]]="","Non encore payée",IF(I546&lt;0,"Attention, paiement hors délais","OK RAS")))</f>
        <v/>
      </c>
      <c r="K546" s="31" t="n"/>
      <c r="L546" s="31" t="n"/>
      <c r="M546" s="31" t="n"/>
    </row>
    <row r="547" ht="14.25" customHeight="1">
      <c r="B547" s="78" t="n"/>
      <c r="D547" s="77" t="n"/>
      <c r="E547" s="46" t="n"/>
      <c r="F547" s="67" t="n"/>
      <c r="G547" s="2">
        <f>+IF(Tableau1[[#This Row],[Fournisseur]]="","",IFERROR(VLOOKUP(Tableau1[[#This Row],[Fournisseur]],SuiviFrs,2,FALSE),"Vérifier la syntaxe : Fournisseur introuvable au niveau du suivi des conventions"))</f>
        <v/>
      </c>
      <c r="H547" s="7">
        <f>++IF(Tableau1[[#This Row],[Fournisseur]]="","",C547+G547-1)</f>
        <v/>
      </c>
      <c r="I547" s="8">
        <f>++IF(Tableau1[[#This Row],[Fournisseur]]="","",IF(H547-Tableau1[[#This Row],[Date Paiement Effectif]]&gt;0," ",H547-Tableau1[[#This Row],[Date Paiement Effectif]]))</f>
        <v/>
      </c>
      <c r="J547" s="9">
        <f>++IF(Tableau1[[#This Row],[Fournisseur]]="","",IF(Tableau1[[#This Row],[Date Paiement Effectif]]="","Non encore payée",IF(I547&lt;0,"Attention, paiement hors délais","OK RAS")))</f>
        <v/>
      </c>
      <c r="K547" s="54" t="n">
        <v>46130</v>
      </c>
      <c r="L547" s="54" t="n"/>
      <c r="M547" s="31" t="n"/>
    </row>
    <row r="548" ht="14.25" customHeight="1">
      <c r="B548" s="78" t="n"/>
      <c r="D548" s="77" t="n"/>
      <c r="E548" s="46" t="n"/>
      <c r="F548" s="67" t="n"/>
      <c r="G548" s="2">
        <f>+IF(Tableau1[[#This Row],[Fournisseur]]="","",IFERROR(VLOOKUP(Tableau1[[#This Row],[Fournisseur]],SuiviFrs,2,FALSE),"Vérifier la syntaxe : Fournisseur introuvable au niveau du suivi des conventions"))</f>
        <v/>
      </c>
      <c r="H548" s="7">
        <f>++IF(Tableau1[[#This Row],[Fournisseur]]="","",C548+G548-1)</f>
        <v/>
      </c>
      <c r="I548" s="8">
        <f>++IF(Tableau1[[#This Row],[Fournisseur]]="","",IF(H548-Tableau1[[#This Row],[Date Paiement Effectif]]&gt;0," ",H548-Tableau1[[#This Row],[Date Paiement Effectif]]))</f>
        <v/>
      </c>
      <c r="J548" s="9">
        <f>++IF(Tableau1[[#This Row],[Fournisseur]]="","",IF(Tableau1[[#This Row],[Date Paiement Effectif]]="","Non encore payée",IF(I548&lt;0,"Attention, paiement hors délais","OK RAS")))</f>
        <v/>
      </c>
      <c r="K548" s="54" t="n">
        <v>46130</v>
      </c>
      <c r="L548" s="54" t="n"/>
      <c r="M548" s="31" t="n"/>
    </row>
    <row r="549" ht="14.25" customHeight="1">
      <c r="B549" s="78" t="n"/>
      <c r="D549" s="77" t="n"/>
      <c r="E549" s="46" t="n"/>
      <c r="F549" s="67" t="n"/>
      <c r="G549" s="2">
        <f>+IF(Tableau1[[#This Row],[Fournisseur]]="","",IFERROR(VLOOKUP(Tableau1[[#This Row],[Fournisseur]],SuiviFrs,2,FALSE),"Vérifier la syntaxe : Fournisseur introuvable au niveau du suivi des conventions"))</f>
        <v/>
      </c>
      <c r="H549" s="7">
        <f>++IF(Tableau1[[#This Row],[Fournisseur]]="","",C549+G549-1)</f>
        <v/>
      </c>
      <c r="I549" s="8">
        <f>++IF(Tableau1[[#This Row],[Fournisseur]]="","",IF(H549-Tableau1[[#This Row],[Date Paiement Effectif]]&gt;0," ",H549-Tableau1[[#This Row],[Date Paiement Effectif]]))</f>
        <v/>
      </c>
      <c r="J549" s="9">
        <f>++IF(Tableau1[[#This Row],[Fournisseur]]="","",IF(Tableau1[[#This Row],[Date Paiement Effectif]]="","Non encore payée",IF(I549&lt;0,"Attention, paiement hors délais","OK RAS")))</f>
        <v/>
      </c>
      <c r="K549" s="54" t="n">
        <v>46130</v>
      </c>
      <c r="L549" s="54" t="n"/>
      <c r="M549" s="31" t="n"/>
    </row>
    <row r="550" ht="14.25" customHeight="1">
      <c r="B550" s="78" t="n"/>
      <c r="D550" s="77" t="n"/>
      <c r="E550" s="46" t="n"/>
      <c r="F550" s="67" t="n"/>
      <c r="G550" s="2">
        <f>+IF(Tableau1[[#This Row],[Fournisseur]]="","",IFERROR(VLOOKUP(Tableau1[[#This Row],[Fournisseur]],SuiviFrs,2,FALSE),"Vérifier la syntaxe : Fournisseur introuvable au niveau du suivi des conventions"))</f>
        <v/>
      </c>
      <c r="H550" s="7">
        <f>++IF(Tableau1[[#This Row],[Fournisseur]]="","",C550+G550-1)</f>
        <v/>
      </c>
      <c r="I550" s="8">
        <f>++IF(Tableau1[[#This Row],[Fournisseur]]="","",IF(H550-Tableau1[[#This Row],[Date Paiement Effectif]]&gt;0," ",H550-Tableau1[[#This Row],[Date Paiement Effectif]]))</f>
        <v/>
      </c>
      <c r="J550" s="9">
        <f>++IF(Tableau1[[#This Row],[Fournisseur]]="","",IF(Tableau1[[#This Row],[Date Paiement Effectif]]="","Non encore payée",IF(I550&lt;0,"Attention, paiement hors délais","OK RAS")))</f>
        <v/>
      </c>
      <c r="K550" s="54" t="n">
        <v>46130</v>
      </c>
      <c r="L550" s="54" t="n"/>
      <c r="M550" s="31" t="n"/>
    </row>
    <row r="551" ht="14.25" customHeight="1">
      <c r="B551" s="78" t="n"/>
      <c r="D551" s="77" t="n"/>
      <c r="E551" s="46" t="n"/>
      <c r="F551" s="67" t="n"/>
      <c r="G551" s="2">
        <f>+IF(Tableau1[[#This Row],[Fournisseur]]="","",IFERROR(VLOOKUP(Tableau1[[#This Row],[Fournisseur]],SuiviFrs,2,FALSE),"Vérifier la syntaxe : Fournisseur introuvable au niveau du suivi des conventions"))</f>
        <v/>
      </c>
      <c r="H551" s="7">
        <f>++IF(Tableau1[[#This Row],[Fournisseur]]="","",C551+G551-1)</f>
        <v/>
      </c>
      <c r="I551" s="8">
        <f>++IF(Tableau1[[#This Row],[Fournisseur]]="","",IF(H551-Tableau1[[#This Row],[Date Paiement Effectif]]&gt;0," ",H551-Tableau1[[#This Row],[Date Paiement Effectif]]))</f>
        <v/>
      </c>
      <c r="J551" s="9">
        <f>++IF(Tableau1[[#This Row],[Fournisseur]]="","",IF(Tableau1[[#This Row],[Date Paiement Effectif]]="","Non encore payée",IF(I551&lt;0,"Attention, paiement hors délais","OK RAS")))</f>
        <v/>
      </c>
      <c r="K551" s="54" t="n">
        <v>46130</v>
      </c>
      <c r="L551" s="54" t="n"/>
      <c r="M551" s="31" t="n"/>
    </row>
    <row r="552" ht="14.25" customHeight="1">
      <c r="B552" s="78" t="n"/>
      <c r="D552" s="77" t="n"/>
      <c r="E552" s="46" t="n"/>
      <c r="F552" s="67" t="n"/>
      <c r="G552" s="2">
        <f>+IF(Tableau1[[#This Row],[Fournisseur]]="","",IFERROR(VLOOKUP(Tableau1[[#This Row],[Fournisseur]],SuiviFrs,2,FALSE),"Vérifier la syntaxe : Fournisseur introuvable au niveau du suivi des conventions"))</f>
        <v/>
      </c>
      <c r="H552" s="7">
        <f>++IF(Tableau1[[#This Row],[Fournisseur]]="","",C552+G552-1)</f>
        <v/>
      </c>
      <c r="I552" s="8">
        <f>++IF(Tableau1[[#This Row],[Fournisseur]]="","",IF(H552-Tableau1[[#This Row],[Date Paiement Effectif]]&gt;0," ",H552-Tableau1[[#This Row],[Date Paiement Effectif]]))</f>
        <v/>
      </c>
      <c r="J552" s="9">
        <f>++IF(Tableau1[[#This Row],[Fournisseur]]="","",IF(Tableau1[[#This Row],[Date Paiement Effectif]]="","Non encore payée",IF(I552&lt;0,"Attention, paiement hors délais","OK RAS")))</f>
        <v/>
      </c>
      <c r="K552" s="54" t="n">
        <v>46130</v>
      </c>
      <c r="L552" s="54" t="n"/>
      <c r="M552" s="31" t="n"/>
    </row>
    <row r="553" ht="14.25" customHeight="1">
      <c r="B553" s="78" t="n"/>
      <c r="D553" s="77" t="n"/>
      <c r="E553" s="46" t="n"/>
      <c r="F553" s="67" t="n"/>
      <c r="G553" s="2">
        <f>+IF(Tableau1[[#This Row],[Fournisseur]]="","",IFERROR(VLOOKUP(Tableau1[[#This Row],[Fournisseur]],SuiviFrs,2,FALSE),"Vérifier la syntaxe : Fournisseur introuvable au niveau du suivi des conventions"))</f>
        <v/>
      </c>
      <c r="H553" s="7">
        <f>++IF(Tableau1[[#This Row],[Fournisseur]]="","",C553+G553-1)</f>
        <v/>
      </c>
      <c r="I553" s="8">
        <f>++IF(Tableau1[[#This Row],[Fournisseur]]="","",IF(H553-Tableau1[[#This Row],[Date Paiement Effectif]]&gt;0," ",H553-Tableau1[[#This Row],[Date Paiement Effectif]]))</f>
        <v/>
      </c>
      <c r="J553" s="9">
        <f>++IF(Tableau1[[#This Row],[Fournisseur]]="","",IF(Tableau1[[#This Row],[Date Paiement Effectif]]="","Non encore payée",IF(I553&lt;0,"Attention, paiement hors délais","OK RAS")))</f>
        <v/>
      </c>
      <c r="K553" s="54" t="n">
        <v>46130</v>
      </c>
      <c r="L553" s="54" t="n"/>
      <c r="M553" s="31" t="n"/>
    </row>
    <row r="554" ht="14.25" customHeight="1">
      <c r="B554" s="78" t="n"/>
      <c r="D554" s="77" t="n"/>
      <c r="E554" s="46" t="n"/>
      <c r="F554" s="67" t="n"/>
      <c r="G554" s="2">
        <f>+IF(Tableau1[[#This Row],[Fournisseur]]="","",IFERROR(VLOOKUP(Tableau1[[#This Row],[Fournisseur]],SuiviFrs,2,FALSE),"Vérifier la syntaxe : Fournisseur introuvable au niveau du suivi des conventions"))</f>
        <v/>
      </c>
      <c r="H554" s="7">
        <f>++IF(Tableau1[[#This Row],[Fournisseur]]="","",C554+G554-1)</f>
        <v/>
      </c>
      <c r="I554" s="8">
        <f>++IF(Tableau1[[#This Row],[Fournisseur]]="","",IF(H554-Tableau1[[#This Row],[Date Paiement Effectif]]&gt;0," ",H554-Tableau1[[#This Row],[Date Paiement Effectif]]))</f>
        <v/>
      </c>
      <c r="J554" s="9">
        <f>++IF(Tableau1[[#This Row],[Fournisseur]]="","",IF(Tableau1[[#This Row],[Date Paiement Effectif]]="","Non encore payée",IF(I554&lt;0,"Attention, paiement hors délais","OK RAS")))</f>
        <v/>
      </c>
      <c r="K554" s="54" t="n">
        <v>46130</v>
      </c>
      <c r="L554" s="54" t="n"/>
      <c r="M554" s="31" t="n"/>
    </row>
    <row r="555" ht="14.25" customHeight="1">
      <c r="B555" s="78" t="n"/>
      <c r="D555" s="77" t="n"/>
      <c r="E555" s="46" t="n"/>
      <c r="F555" s="67" t="n"/>
      <c r="G555" s="2">
        <f>+IF(Tableau1[[#This Row],[Fournisseur]]="","",IFERROR(VLOOKUP(Tableau1[[#This Row],[Fournisseur]],SuiviFrs,2,FALSE),"Vérifier la syntaxe : Fournisseur introuvable au niveau du suivi des conventions"))</f>
        <v/>
      </c>
      <c r="H555" s="7">
        <f>++IF(Tableau1[[#This Row],[Fournisseur]]="","",C555+G555-1)</f>
        <v/>
      </c>
      <c r="I555" s="8">
        <f>++IF(Tableau1[[#This Row],[Fournisseur]]="","",IF(H555-Tableau1[[#This Row],[Date Paiement Effectif]]&gt;0," ",H555-Tableau1[[#This Row],[Date Paiement Effectif]]))</f>
        <v/>
      </c>
      <c r="J555" s="9">
        <f>++IF(Tableau1[[#This Row],[Fournisseur]]="","",IF(Tableau1[[#This Row],[Date Paiement Effectif]]="","Non encore payée",IF(I555&lt;0,"Attention, paiement hors délais","OK RAS")))</f>
        <v/>
      </c>
      <c r="K555" s="54" t="n">
        <v>46130</v>
      </c>
      <c r="L555" s="54" t="n"/>
      <c r="M555" s="31" t="n"/>
    </row>
    <row r="556" ht="14.25" customHeight="1">
      <c r="B556" s="78" t="n"/>
      <c r="D556" s="77" t="n"/>
      <c r="E556" s="46" t="n"/>
      <c r="F556" s="67" t="n"/>
      <c r="G556" s="2">
        <f>+IF(Tableau1[[#This Row],[Fournisseur]]="","",IFERROR(VLOOKUP(Tableau1[[#This Row],[Fournisseur]],SuiviFrs,2,FALSE),"Vérifier la syntaxe : Fournisseur introuvable au niveau du suivi des conventions"))</f>
        <v/>
      </c>
      <c r="H556" s="7">
        <f>++IF(Tableau1[[#This Row],[Fournisseur]]="","",C556+G556-1)</f>
        <v/>
      </c>
      <c r="I556" s="8">
        <f>++IF(Tableau1[[#This Row],[Fournisseur]]="","",IF(H556-Tableau1[[#This Row],[Date Paiement Effectif]]&gt;0," ",H556-Tableau1[[#This Row],[Date Paiement Effectif]]))</f>
        <v/>
      </c>
      <c r="J556" s="9">
        <f>++IF(Tableau1[[#This Row],[Fournisseur]]="","",IF(Tableau1[[#This Row],[Date Paiement Effectif]]="","Non encore payée",IF(I556&lt;0,"Attention, paiement hors délais","OK RAS")))</f>
        <v/>
      </c>
      <c r="K556" s="54" t="n">
        <v>46130</v>
      </c>
      <c r="L556" s="54" t="n"/>
      <c r="M556" s="31" t="n"/>
    </row>
    <row r="557" ht="14.25" customHeight="1">
      <c r="B557" s="78" t="n"/>
      <c r="D557" s="77" t="n"/>
      <c r="E557" s="46" t="n"/>
      <c r="F557" s="67" t="n"/>
      <c r="G557" s="2">
        <f>+IF(Tableau1[[#This Row],[Fournisseur]]="","",IFERROR(VLOOKUP(Tableau1[[#This Row],[Fournisseur]],SuiviFrs,2,FALSE),"Vérifier la syntaxe : Fournisseur introuvable au niveau du suivi des conventions"))</f>
        <v/>
      </c>
      <c r="H557" s="7">
        <f>++IF(Tableau1[[#This Row],[Fournisseur]]="","",C557+G557-1)</f>
        <v/>
      </c>
      <c r="I557" s="8">
        <f>++IF(Tableau1[[#This Row],[Fournisseur]]="","",IF(H557-Tableau1[[#This Row],[Date Paiement Effectif]]&gt;0," ",H557-Tableau1[[#This Row],[Date Paiement Effectif]]))</f>
        <v/>
      </c>
      <c r="J557" s="9">
        <f>++IF(Tableau1[[#This Row],[Fournisseur]]="","",IF(Tableau1[[#This Row],[Date Paiement Effectif]]="","Non encore payée",IF(I557&lt;0,"Attention, paiement hors délais","OK RAS")))</f>
        <v/>
      </c>
      <c r="K557" s="54" t="n">
        <v>46130</v>
      </c>
      <c r="L557" s="54" t="n"/>
      <c r="M557" s="31" t="n"/>
    </row>
    <row r="558" ht="14.25" customHeight="1">
      <c r="B558" s="78" t="n"/>
      <c r="D558" s="77" t="n"/>
      <c r="E558" s="46" t="n"/>
      <c r="F558" s="67" t="n"/>
      <c r="G558" s="2">
        <f>+IF(Tableau1[[#This Row],[Fournisseur]]="","",IFERROR(VLOOKUP(Tableau1[[#This Row],[Fournisseur]],SuiviFrs,2,FALSE),"Vérifier la syntaxe : Fournisseur introuvable au niveau du suivi des conventions"))</f>
        <v/>
      </c>
      <c r="H558" s="7">
        <f>++IF(Tableau1[[#This Row],[Fournisseur]]="","",C558+G558-1)</f>
        <v/>
      </c>
      <c r="I558" s="8">
        <f>++IF(Tableau1[[#This Row],[Fournisseur]]="","",IF(H558-Tableau1[[#This Row],[Date Paiement Effectif]]&gt;0," ",H558-Tableau1[[#This Row],[Date Paiement Effectif]]))</f>
        <v/>
      </c>
      <c r="J558" s="9">
        <f>++IF(Tableau1[[#This Row],[Fournisseur]]="","",IF(Tableau1[[#This Row],[Date Paiement Effectif]]="","Non encore payée",IF(I558&lt;0,"Attention, paiement hors délais","OK RAS")))</f>
        <v/>
      </c>
      <c r="K558" s="54" t="n">
        <v>46130</v>
      </c>
      <c r="L558" s="54" t="n"/>
      <c r="M558" s="31" t="n"/>
    </row>
    <row r="559" ht="14.25" customHeight="1">
      <c r="B559" s="78" t="n"/>
      <c r="D559" s="77" t="n"/>
      <c r="E559" s="46" t="n"/>
      <c r="F559" s="67" t="n"/>
      <c r="G559" s="2">
        <f>+IF(Tableau1[[#This Row],[Fournisseur]]="","",IFERROR(VLOOKUP(Tableau1[[#This Row],[Fournisseur]],SuiviFrs,2,FALSE),"Vérifier la syntaxe : Fournisseur introuvable au niveau du suivi des conventions"))</f>
        <v/>
      </c>
      <c r="H559" s="7">
        <f>++IF(Tableau1[[#This Row],[Fournisseur]]="","",C559+G559-1)</f>
        <v/>
      </c>
      <c r="I559" s="8">
        <f>++IF(Tableau1[[#This Row],[Fournisseur]]="","",IF(H559-Tableau1[[#This Row],[Date Paiement Effectif]]&gt;0," ",H559-Tableau1[[#This Row],[Date Paiement Effectif]]))</f>
        <v/>
      </c>
      <c r="J559" s="9">
        <f>++IF(Tableau1[[#This Row],[Fournisseur]]="","",IF(Tableau1[[#This Row],[Date Paiement Effectif]]="","Non encore payée",IF(I559&lt;0,"Attention, paiement hors délais","OK RAS")))</f>
        <v/>
      </c>
      <c r="K559" s="54" t="n">
        <v>46130</v>
      </c>
      <c r="L559" s="54" t="n"/>
      <c r="M559" s="31" t="n"/>
    </row>
    <row r="560" ht="14.25" customHeight="1">
      <c r="B560" s="78" t="n"/>
      <c r="D560" s="77" t="n"/>
      <c r="E560" s="46" t="n"/>
      <c r="F560" s="67" t="n"/>
      <c r="G560" s="2">
        <f>+IF(Tableau1[[#This Row],[Fournisseur]]="","",IFERROR(VLOOKUP(Tableau1[[#This Row],[Fournisseur]],SuiviFrs,2,FALSE),"Vérifier la syntaxe : Fournisseur introuvable au niveau du suivi des conventions"))</f>
        <v/>
      </c>
      <c r="H560" s="7">
        <f>++IF(Tableau1[[#This Row],[Fournisseur]]="","",C560+G560-1)</f>
        <v/>
      </c>
      <c r="I560" s="8">
        <f>++IF(Tableau1[[#This Row],[Fournisseur]]="","",IF(H560-Tableau1[[#This Row],[Date Paiement Effectif]]&gt;0," ",H560-Tableau1[[#This Row],[Date Paiement Effectif]]))</f>
        <v/>
      </c>
      <c r="J560" s="9">
        <f>++IF(Tableau1[[#This Row],[Fournisseur]]="","",IF(Tableau1[[#This Row],[Date Paiement Effectif]]="","Non encore payée",IF(I560&lt;0,"Attention, paiement hors délais","OK RAS")))</f>
        <v/>
      </c>
      <c r="K560" s="54" t="n">
        <v>46130</v>
      </c>
      <c r="L560" s="54" t="n"/>
      <c r="M560" s="31" t="n"/>
    </row>
    <row r="561" ht="14.25" customHeight="1">
      <c r="B561" s="78" t="n"/>
      <c r="D561" s="77" t="n"/>
      <c r="E561" s="46" t="n"/>
      <c r="F561" s="67" t="n"/>
      <c r="G561" s="2">
        <f>+IF(Tableau1[[#This Row],[Fournisseur]]="","",IFERROR(VLOOKUP(Tableau1[[#This Row],[Fournisseur]],SuiviFrs,2,FALSE),"Vérifier la syntaxe : Fournisseur introuvable au niveau du suivi des conventions"))</f>
        <v/>
      </c>
      <c r="H561" s="7">
        <f>++IF(Tableau1[[#This Row],[Fournisseur]]="","",C561+G561-1)</f>
        <v/>
      </c>
      <c r="I561" s="8">
        <f>++IF(Tableau1[[#This Row],[Fournisseur]]="","",IF(H561-Tableau1[[#This Row],[Date Paiement Effectif]]&gt;0," ",H561-Tableau1[[#This Row],[Date Paiement Effectif]]))</f>
        <v/>
      </c>
      <c r="J561" s="9">
        <f>++IF(Tableau1[[#This Row],[Fournisseur]]="","",IF(Tableau1[[#This Row],[Date Paiement Effectif]]="","Non encore payée",IF(I561&lt;0,"Attention, paiement hors délais","OK RAS")))</f>
        <v/>
      </c>
      <c r="K561" s="54" t="n">
        <v>46130</v>
      </c>
      <c r="L561" s="54" t="n"/>
      <c r="M561" s="31" t="n"/>
    </row>
    <row r="562" ht="14.25" customHeight="1">
      <c r="B562" s="78" t="n"/>
      <c r="D562" s="77" t="n"/>
      <c r="E562" s="46" t="n"/>
      <c r="F562" s="67" t="n"/>
      <c r="G562" s="2">
        <f>+IF(Tableau1[[#This Row],[Fournisseur]]="","",IFERROR(VLOOKUP(Tableau1[[#This Row],[Fournisseur]],SuiviFrs,2,FALSE),"Vérifier la syntaxe : Fournisseur introuvable au niveau du suivi des conventions"))</f>
        <v/>
      </c>
      <c r="H562" s="7">
        <f>++IF(Tableau1[[#This Row],[Fournisseur]]="","",C562+G562-1)</f>
        <v/>
      </c>
      <c r="I562" s="8">
        <f>++IF(Tableau1[[#This Row],[Fournisseur]]="","",IF(H562-Tableau1[[#This Row],[Date Paiement Effectif]]&gt;0," ",H562-Tableau1[[#This Row],[Date Paiement Effectif]]))</f>
        <v/>
      </c>
      <c r="J562" s="9">
        <f>++IF(Tableau1[[#This Row],[Fournisseur]]="","",IF(Tableau1[[#This Row],[Date Paiement Effectif]]="","Non encore payée",IF(I562&lt;0,"Attention, paiement hors délais","OK RAS")))</f>
        <v/>
      </c>
      <c r="K562" s="54" t="n">
        <v>46130</v>
      </c>
      <c r="L562" s="54" t="n"/>
      <c r="M562" s="31" t="n"/>
    </row>
    <row r="563" ht="14.25" customHeight="1">
      <c r="B563" s="78" t="n"/>
      <c r="D563" s="77" t="n"/>
      <c r="E563" s="46" t="n"/>
      <c r="F563" s="67" t="n"/>
      <c r="G563" s="2">
        <f>+IF(Tableau1[[#This Row],[Fournisseur]]="","",IFERROR(VLOOKUP(Tableau1[[#This Row],[Fournisseur]],SuiviFrs,2,FALSE),"Vérifier la syntaxe : Fournisseur introuvable au niveau du suivi des conventions"))</f>
        <v/>
      </c>
      <c r="H563" s="7">
        <f>++IF(Tableau1[[#This Row],[Fournisseur]]="","",C563+G563-1)</f>
        <v/>
      </c>
      <c r="I563" s="8">
        <f>++IF(Tableau1[[#This Row],[Fournisseur]]="","",IF(H563-Tableau1[[#This Row],[Date Paiement Effectif]]&gt;0," ",H563-Tableau1[[#This Row],[Date Paiement Effectif]]))</f>
        <v/>
      </c>
      <c r="J563" s="9">
        <f>++IF(Tableau1[[#This Row],[Fournisseur]]="","",IF(Tableau1[[#This Row],[Date Paiement Effectif]]="","Non encore payée",IF(I563&lt;0,"Attention, paiement hors délais","OK RAS")))</f>
        <v/>
      </c>
      <c r="K563" s="54" t="n">
        <v>46130</v>
      </c>
      <c r="L563" s="54" t="n"/>
      <c r="M563" s="31" t="n"/>
    </row>
    <row r="564" ht="14.25" customHeight="1">
      <c r="B564" s="78" t="n"/>
      <c r="D564" s="77" t="n"/>
      <c r="E564" s="46" t="n"/>
      <c r="F564" s="67" t="n"/>
      <c r="G564" s="2">
        <f>+IF(Tableau1[[#This Row],[Fournisseur]]="","",IFERROR(VLOOKUP(Tableau1[[#This Row],[Fournisseur]],SuiviFrs,2,FALSE),"Vérifier la syntaxe : Fournisseur introuvable au niveau du suivi des conventions"))</f>
        <v/>
      </c>
      <c r="H564" s="7">
        <f>++IF(Tableau1[[#This Row],[Fournisseur]]="","",C564+G564-1)</f>
        <v/>
      </c>
      <c r="I564" s="8">
        <f>++IF(Tableau1[[#This Row],[Fournisseur]]="","",IF(H564-Tableau1[[#This Row],[Date Paiement Effectif]]&gt;0," ",H564-Tableau1[[#This Row],[Date Paiement Effectif]]))</f>
        <v/>
      </c>
      <c r="J564" s="9">
        <f>++IF(Tableau1[[#This Row],[Fournisseur]]="","",IF(Tableau1[[#This Row],[Date Paiement Effectif]]="","Non encore payée",IF(I564&lt;0,"Attention, paiement hors délais","OK RAS")))</f>
        <v/>
      </c>
      <c r="K564" s="54" t="n">
        <v>46130</v>
      </c>
      <c r="L564" s="54" t="n"/>
      <c r="M564" s="31" t="n"/>
    </row>
    <row r="565" ht="14.25" customHeight="1">
      <c r="B565" s="78" t="n"/>
      <c r="D565" s="77" t="n"/>
      <c r="E565" s="46" t="n"/>
      <c r="F565" s="67" t="n"/>
      <c r="G565" s="2">
        <f>+IF(Tableau1[[#This Row],[Fournisseur]]="","",IFERROR(VLOOKUP(Tableau1[[#This Row],[Fournisseur]],SuiviFrs,2,FALSE),"Vérifier la syntaxe : Fournisseur introuvable au niveau du suivi des conventions"))</f>
        <v/>
      </c>
      <c r="H565" s="7">
        <f>++IF(Tableau1[[#This Row],[Fournisseur]]="","",C565+G565-1)</f>
        <v/>
      </c>
      <c r="I565" s="8">
        <f>++IF(Tableau1[[#This Row],[Fournisseur]]="","",IF(H565-Tableau1[[#This Row],[Date Paiement Effectif]]&gt;0," ",H565-Tableau1[[#This Row],[Date Paiement Effectif]]))</f>
        <v/>
      </c>
      <c r="J565" s="9">
        <f>++IF(Tableau1[[#This Row],[Fournisseur]]="","",IF(Tableau1[[#This Row],[Date Paiement Effectif]]="","Non encore payée",IF(I565&lt;0,"Attention, paiement hors délais","OK RAS")))</f>
        <v/>
      </c>
      <c r="K565" s="54" t="n">
        <v>46130</v>
      </c>
      <c r="L565" s="54" t="n"/>
      <c r="M565" s="31" t="n"/>
    </row>
    <row r="566" ht="14.25" customHeight="1">
      <c r="B566" s="78" t="n"/>
      <c r="D566" s="77" t="n"/>
      <c r="E566" s="46" t="n"/>
      <c r="F566" s="67" t="n"/>
      <c r="G566" s="2">
        <f>+IF(Tableau1[[#This Row],[Fournisseur]]="","",IFERROR(VLOOKUP(Tableau1[[#This Row],[Fournisseur]],SuiviFrs,2,FALSE),"Vérifier la syntaxe : Fournisseur introuvable au niveau du suivi des conventions"))</f>
        <v/>
      </c>
      <c r="H566" s="7">
        <f>++IF(Tableau1[[#This Row],[Fournisseur]]="","",C566+G566-1)</f>
        <v/>
      </c>
      <c r="I566" s="8">
        <f>++IF(Tableau1[[#This Row],[Fournisseur]]="","",IF(H566-Tableau1[[#This Row],[Date Paiement Effectif]]&gt;0," ",H566-Tableau1[[#This Row],[Date Paiement Effectif]]))</f>
        <v/>
      </c>
      <c r="J566" s="9">
        <f>++IF(Tableau1[[#This Row],[Fournisseur]]="","",IF(Tableau1[[#This Row],[Date Paiement Effectif]]="","Non encore payée",IF(I566&lt;0,"Attention, paiement hors délais","OK RAS")))</f>
        <v/>
      </c>
      <c r="K566" s="54" t="n">
        <v>46130</v>
      </c>
      <c r="L566" s="54" t="n"/>
      <c r="M566" s="31" t="n"/>
    </row>
    <row r="567" ht="14.25" customHeight="1">
      <c r="B567" s="78" t="n"/>
      <c r="D567" s="77" t="n"/>
      <c r="E567" s="46" t="n"/>
      <c r="F567" s="67" t="n"/>
      <c r="G567" s="2">
        <f>+IF(Tableau1[[#This Row],[Fournisseur]]="","",IFERROR(VLOOKUP(Tableau1[[#This Row],[Fournisseur]],SuiviFrs,2,FALSE),"Vérifier la syntaxe : Fournisseur introuvable au niveau du suivi des conventions"))</f>
        <v/>
      </c>
      <c r="H567" s="7">
        <f>++IF(Tableau1[[#This Row],[Fournisseur]]="","",C567+G567-1)</f>
        <v/>
      </c>
      <c r="I567" s="8">
        <f>++IF(Tableau1[[#This Row],[Fournisseur]]="","",IF(H567-Tableau1[[#This Row],[Date Paiement Effectif]]&gt;0," ",H567-Tableau1[[#This Row],[Date Paiement Effectif]]))</f>
        <v/>
      </c>
      <c r="J567" s="9">
        <f>++IF(Tableau1[[#This Row],[Fournisseur]]="","",IF(Tableau1[[#This Row],[Date Paiement Effectif]]="","Non encore payée",IF(I567&lt;0,"Attention, paiement hors délais","OK RAS")))</f>
        <v/>
      </c>
      <c r="K567" s="54" t="n">
        <v>46130</v>
      </c>
      <c r="L567" s="54" t="n"/>
      <c r="M567" s="31" t="n"/>
    </row>
    <row r="568" ht="14.25" customHeight="1">
      <c r="B568" s="78" t="n"/>
      <c r="D568" s="77" t="n"/>
      <c r="E568" s="46" t="n"/>
      <c r="F568" s="67" t="n"/>
      <c r="G568" s="2">
        <f>+IF(Tableau1[[#This Row],[Fournisseur]]="","",IFERROR(VLOOKUP(Tableau1[[#This Row],[Fournisseur]],SuiviFrs,2,FALSE),"Vérifier la syntaxe : Fournisseur introuvable au niveau du suivi des conventions"))</f>
        <v/>
      </c>
      <c r="H568" s="7">
        <f>++IF(Tableau1[[#This Row],[Fournisseur]]="","",C568+G568-1)</f>
        <v/>
      </c>
      <c r="I568" s="8">
        <f>++IF(Tableau1[[#This Row],[Fournisseur]]="","",IF(H568-Tableau1[[#This Row],[Date Paiement Effectif]]&gt;0," ",H568-Tableau1[[#This Row],[Date Paiement Effectif]]))</f>
        <v/>
      </c>
      <c r="J568" s="9">
        <f>++IF(Tableau1[[#This Row],[Fournisseur]]="","",IF(Tableau1[[#This Row],[Date Paiement Effectif]]="","Non encore payée",IF(I568&lt;0,"Attention, paiement hors délais","OK RAS")))</f>
        <v/>
      </c>
      <c r="K568" s="54" t="n">
        <v>46130</v>
      </c>
      <c r="L568" s="54" t="n"/>
      <c r="M568" s="31" t="n"/>
    </row>
    <row r="569" ht="14.25" customHeight="1">
      <c r="B569" s="78" t="n"/>
      <c r="D569" s="77" t="n"/>
      <c r="E569" s="46" t="n"/>
      <c r="F569" s="67" t="n"/>
      <c r="G569" s="2">
        <f>+IF(Tableau1[[#This Row],[Fournisseur]]="","",IFERROR(VLOOKUP(Tableau1[[#This Row],[Fournisseur]],SuiviFrs,2,FALSE),"Vérifier la syntaxe : Fournisseur introuvable au niveau du suivi des conventions"))</f>
        <v/>
      </c>
      <c r="H569" s="7">
        <f>++IF(Tableau1[[#This Row],[Fournisseur]]="","",C569+G569-1)</f>
        <v/>
      </c>
      <c r="I569" s="8">
        <f>++IF(Tableau1[[#This Row],[Fournisseur]]="","",IF(H569-Tableau1[[#This Row],[Date Paiement Effectif]]&gt;0," ",H569-Tableau1[[#This Row],[Date Paiement Effectif]]))</f>
        <v/>
      </c>
      <c r="J569" s="9">
        <f>++IF(Tableau1[[#This Row],[Fournisseur]]="","",IF(Tableau1[[#This Row],[Date Paiement Effectif]]="","Non encore payée",IF(I569&lt;0,"Attention, paiement hors délais","OK RAS")))</f>
        <v/>
      </c>
      <c r="K569" s="54" t="n">
        <v>46130</v>
      </c>
      <c r="L569" s="54" t="n"/>
      <c r="M569" s="31" t="n"/>
    </row>
    <row r="570" ht="14.25" customHeight="1">
      <c r="B570" s="78" t="n"/>
      <c r="D570" s="77" t="n"/>
      <c r="E570" s="46" t="n"/>
      <c r="F570" s="67" t="n"/>
      <c r="G570" s="2">
        <f>+IF(Tableau1[[#This Row],[Fournisseur]]="","",IFERROR(VLOOKUP(Tableau1[[#This Row],[Fournisseur]],SuiviFrs,2,FALSE),"Vérifier la syntaxe : Fournisseur introuvable au niveau du suivi des conventions"))</f>
        <v/>
      </c>
      <c r="H570" s="7">
        <f>++IF(Tableau1[[#This Row],[Fournisseur]]="","",C570+G570-1)</f>
        <v/>
      </c>
      <c r="I570" s="8">
        <f>++IF(Tableau1[[#This Row],[Fournisseur]]="","",IF(H570-Tableau1[[#This Row],[Date Paiement Effectif]]&gt;0," ",H570-Tableau1[[#This Row],[Date Paiement Effectif]]))</f>
        <v/>
      </c>
      <c r="J570" s="9">
        <f>++IF(Tableau1[[#This Row],[Fournisseur]]="","",IF(Tableau1[[#This Row],[Date Paiement Effectif]]="","Non encore payée",IF(I570&lt;0,"Attention, paiement hors délais","OK RAS")))</f>
        <v/>
      </c>
      <c r="K570" s="54" t="n">
        <v>46130</v>
      </c>
      <c r="L570" s="54" t="n"/>
      <c r="M570" s="31" t="n"/>
    </row>
    <row r="571" ht="14.25" customHeight="1">
      <c r="B571" s="78" t="n"/>
      <c r="D571" s="77" t="n"/>
      <c r="E571" s="46" t="n"/>
      <c r="F571" s="67" t="n"/>
      <c r="G571" s="2">
        <f>+IF(Tableau1[[#This Row],[Fournisseur]]="","",IFERROR(VLOOKUP(Tableau1[[#This Row],[Fournisseur]],SuiviFrs,2,FALSE),"Vérifier la syntaxe : Fournisseur introuvable au niveau du suivi des conventions"))</f>
        <v/>
      </c>
      <c r="H571" s="7">
        <f>++IF(Tableau1[[#This Row],[Fournisseur]]="","",C571+G571-1)</f>
        <v/>
      </c>
      <c r="I571" s="8">
        <f>++IF(Tableau1[[#This Row],[Fournisseur]]="","",IF(H571-Tableau1[[#This Row],[Date Paiement Effectif]]&gt;0," ",H571-Tableau1[[#This Row],[Date Paiement Effectif]]))</f>
        <v/>
      </c>
      <c r="J571" s="9">
        <f>++IF(Tableau1[[#This Row],[Fournisseur]]="","",IF(Tableau1[[#This Row],[Date Paiement Effectif]]="","Non encore payée",IF(I571&lt;0,"Attention, paiement hors délais","OK RAS")))</f>
        <v/>
      </c>
      <c r="K571" s="31" t="n"/>
      <c r="L571" s="31" t="n"/>
      <c r="M571" s="31" t="n"/>
    </row>
    <row r="572" ht="14.25" customHeight="1">
      <c r="B572" s="78" t="n"/>
      <c r="D572" s="77" t="n"/>
      <c r="E572" s="46" t="n"/>
      <c r="F572" s="67" t="n"/>
      <c r="G572" s="2">
        <f>+IF(Tableau1[[#This Row],[Fournisseur]]="","",IFERROR(VLOOKUP(Tableau1[[#This Row],[Fournisseur]],SuiviFrs,2,FALSE),"Vérifier la syntaxe : Fournisseur introuvable au niveau du suivi des conventions"))</f>
        <v/>
      </c>
      <c r="H572" s="7">
        <f>++IF(Tableau1[[#This Row],[Fournisseur]]="","",C572+G572-1)</f>
        <v/>
      </c>
      <c r="I572" s="8">
        <f>++IF(Tableau1[[#This Row],[Fournisseur]]="","",IF(H572-Tableau1[[#This Row],[Date Paiement Effectif]]&gt;0," ",H572-Tableau1[[#This Row],[Date Paiement Effectif]]))</f>
        <v/>
      </c>
      <c r="J572" s="9">
        <f>++IF(Tableau1[[#This Row],[Fournisseur]]="","",IF(Tableau1[[#This Row],[Date Paiement Effectif]]="","Non encore payée",IF(I572&lt;0,"Attention, paiement hors délais","OK RAS")))</f>
        <v/>
      </c>
      <c r="K572" s="54" t="n">
        <v>46063</v>
      </c>
      <c r="L572" s="54" t="n"/>
      <c r="M572" s="31" t="n"/>
    </row>
    <row r="573" ht="14.25" customHeight="1">
      <c r="B573" s="78" t="n"/>
      <c r="D573" s="77" t="n"/>
      <c r="E573" s="46" t="n"/>
      <c r="F573" s="67" t="n"/>
      <c r="G573" s="2">
        <f>+IF(Tableau1[[#This Row],[Fournisseur]]="","",IFERROR(VLOOKUP(Tableau1[[#This Row],[Fournisseur]],SuiviFrs,2,FALSE),"Vérifier la syntaxe : Fournisseur introuvable au niveau du suivi des conventions"))</f>
        <v/>
      </c>
      <c r="H573" s="7">
        <f>++IF(Tableau1[[#This Row],[Fournisseur]]="","",C573+G573-1)</f>
        <v/>
      </c>
      <c r="I573" s="8">
        <f>++IF(Tableau1[[#This Row],[Fournisseur]]="","",IF(H573-Tableau1[[#This Row],[Date Paiement Effectif]]&gt;0," ",H573-Tableau1[[#This Row],[Date Paiement Effectif]]))</f>
        <v/>
      </c>
      <c r="J573" s="9">
        <f>++IF(Tableau1[[#This Row],[Fournisseur]]="","",IF(Tableau1[[#This Row],[Date Paiement Effectif]]="","Non encore payée",IF(I573&lt;0,"Attention, paiement hors délais","OK RAS")))</f>
        <v/>
      </c>
      <c r="K573" s="54" t="n">
        <v>46063</v>
      </c>
      <c r="L573" s="54" t="n"/>
      <c r="M573" s="31" t="n"/>
    </row>
    <row r="574" ht="14.25" customHeight="1">
      <c r="B574" s="78" t="n"/>
      <c r="D574" s="77" t="n"/>
      <c r="E574" s="46" t="n"/>
      <c r="F574" s="67" t="n"/>
      <c r="G574" s="2">
        <f>+IF(Tableau1[[#This Row],[Fournisseur]]="","",IFERROR(VLOOKUP(Tableau1[[#This Row],[Fournisseur]],SuiviFrs,2,FALSE),"Vérifier la syntaxe : Fournisseur introuvable au niveau du suivi des conventions"))</f>
        <v/>
      </c>
      <c r="H574" s="7">
        <f>++IF(Tableau1[[#This Row],[Fournisseur]]="","",C574+G574-1)</f>
        <v/>
      </c>
      <c r="I574" s="8">
        <f>++IF(Tableau1[[#This Row],[Fournisseur]]="","",IF(H574-Tableau1[[#This Row],[Date Paiement Effectif]]&gt;0," ",H574-Tableau1[[#This Row],[Date Paiement Effectif]]))</f>
        <v/>
      </c>
      <c r="J574" s="9">
        <f>++IF(Tableau1[[#This Row],[Fournisseur]]="","",IF(Tableau1[[#This Row],[Date Paiement Effectif]]="","Non encore payée",IF(I574&lt;0,"Attention, paiement hors délais","OK RAS")))</f>
        <v/>
      </c>
      <c r="K574" s="54" t="n">
        <v>46063</v>
      </c>
      <c r="L574" s="54" t="n"/>
      <c r="M574" s="31" t="n"/>
    </row>
    <row r="575" ht="14.25" customHeight="1">
      <c r="B575" s="78" t="n"/>
      <c r="D575" s="77" t="n"/>
      <c r="E575" s="46" t="n"/>
      <c r="F575" s="67" t="n"/>
      <c r="G575" s="2">
        <f>+IF(Tableau1[[#This Row],[Fournisseur]]="","",IFERROR(VLOOKUP(Tableau1[[#This Row],[Fournisseur]],SuiviFrs,2,FALSE),"Vérifier la syntaxe : Fournisseur introuvable au niveau du suivi des conventions"))</f>
        <v/>
      </c>
      <c r="H575" s="7">
        <f>++IF(Tableau1[[#This Row],[Fournisseur]]="","",C575+G575-1)</f>
        <v/>
      </c>
      <c r="I575" s="8">
        <f>++IF(Tableau1[[#This Row],[Fournisseur]]="","",IF(H575-Tableau1[[#This Row],[Date Paiement Effectif]]&gt;0," ",H575-Tableau1[[#This Row],[Date Paiement Effectif]]))</f>
        <v/>
      </c>
      <c r="J575" s="9">
        <f>++IF(Tableau1[[#This Row],[Fournisseur]]="","",IF(Tableau1[[#This Row],[Date Paiement Effectif]]="","Non encore payée",IF(I575&lt;0,"Attention, paiement hors délais","OK RAS")))</f>
        <v/>
      </c>
      <c r="K575" s="54" t="n">
        <v>46063</v>
      </c>
      <c r="L575" s="54" t="n"/>
      <c r="M575" s="31" t="n"/>
    </row>
    <row r="576" ht="14.25" customHeight="1">
      <c r="B576" s="78" t="n"/>
      <c r="D576" s="77" t="n"/>
      <c r="E576" s="46" t="n"/>
      <c r="F576" s="67" t="n"/>
      <c r="G576" s="2">
        <f>+IF(Tableau1[[#This Row],[Fournisseur]]="","",IFERROR(VLOOKUP(Tableau1[[#This Row],[Fournisseur]],SuiviFrs,2,FALSE),"Vérifier la syntaxe : Fournisseur introuvable au niveau du suivi des conventions"))</f>
        <v/>
      </c>
      <c r="H576" s="7">
        <f>++IF(Tableau1[[#This Row],[Fournisseur]]="","",C576+G576-1)</f>
        <v/>
      </c>
      <c r="I576" s="8">
        <f>++IF(Tableau1[[#This Row],[Fournisseur]]="","",IF(H576-Tableau1[[#This Row],[Date Paiement Effectif]]&gt;0," ",H576-Tableau1[[#This Row],[Date Paiement Effectif]]))</f>
        <v/>
      </c>
      <c r="J576" s="9">
        <f>++IF(Tableau1[[#This Row],[Fournisseur]]="","",IF(Tableau1[[#This Row],[Date Paiement Effectif]]="","Non encore payée",IF(I576&lt;0,"Attention, paiement hors délais","OK RAS")))</f>
        <v/>
      </c>
      <c r="K576" s="54" t="n">
        <v>46063</v>
      </c>
      <c r="L576" s="54" t="n"/>
      <c r="M576" s="31" t="n"/>
    </row>
    <row r="577" ht="14.25" customHeight="1">
      <c r="B577" s="78" t="n"/>
      <c r="D577" s="77" t="n"/>
      <c r="E577" s="46" t="n"/>
      <c r="F577" s="67" t="n"/>
      <c r="G577" s="2">
        <f>+IF(Tableau1[[#This Row],[Fournisseur]]="","",IFERROR(VLOOKUP(Tableau1[[#This Row],[Fournisseur]],SuiviFrs,2,FALSE),"Vérifier la syntaxe : Fournisseur introuvable au niveau du suivi des conventions"))</f>
        <v/>
      </c>
      <c r="H577" s="7">
        <f>++IF(Tableau1[[#This Row],[Fournisseur]]="","",C577+G577-1)</f>
        <v/>
      </c>
      <c r="I577" s="8">
        <f>++IF(Tableau1[[#This Row],[Fournisseur]]="","",IF(H577-Tableau1[[#This Row],[Date Paiement Effectif]]&gt;0," ",H577-Tableau1[[#This Row],[Date Paiement Effectif]]))</f>
        <v/>
      </c>
      <c r="J577" s="9">
        <f>++IF(Tableau1[[#This Row],[Fournisseur]]="","",IF(Tableau1[[#This Row],[Date Paiement Effectif]]="","Non encore payée",IF(I577&lt;0,"Attention, paiement hors délais","OK RAS")))</f>
        <v/>
      </c>
      <c r="K577" s="54" t="n">
        <v>46063</v>
      </c>
      <c r="L577" s="54" t="n"/>
      <c r="M577" s="31" t="n"/>
    </row>
    <row r="578" ht="14.25" customHeight="1">
      <c r="B578" s="78" t="n"/>
      <c r="D578" s="77" t="n"/>
      <c r="E578" s="46" t="n"/>
      <c r="F578" s="67" t="n"/>
      <c r="G578" s="2">
        <f>+IF(Tableau1[[#This Row],[Fournisseur]]="","",IFERROR(VLOOKUP(Tableau1[[#This Row],[Fournisseur]],SuiviFrs,2,FALSE),"Vérifier la syntaxe : Fournisseur introuvable au niveau du suivi des conventions"))</f>
        <v/>
      </c>
      <c r="H578" s="7">
        <f>++IF(Tableau1[[#This Row],[Fournisseur]]="","",C578+G578-1)</f>
        <v/>
      </c>
      <c r="I578" s="8">
        <f>++IF(Tableau1[[#This Row],[Fournisseur]]="","",IF(H578-Tableau1[[#This Row],[Date Paiement Effectif]]&gt;0," ",H578-Tableau1[[#This Row],[Date Paiement Effectif]]))</f>
        <v/>
      </c>
      <c r="J578" s="9">
        <f>++IF(Tableau1[[#This Row],[Fournisseur]]="","",IF(Tableau1[[#This Row],[Date Paiement Effectif]]="","Non encore payée",IF(I578&lt;0,"Attention, paiement hors délais","OK RAS")))</f>
        <v/>
      </c>
      <c r="K578" s="54" t="n">
        <v>46063</v>
      </c>
      <c r="L578" s="54" t="n"/>
      <c r="M578" s="31" t="n"/>
    </row>
    <row r="579" ht="14.25" customHeight="1">
      <c r="B579" s="78" t="n"/>
      <c r="D579" s="77" t="n"/>
      <c r="E579" s="46" t="n"/>
      <c r="F579" s="67" t="n"/>
      <c r="G579" s="2">
        <f>+IF(Tableau1[[#This Row],[Fournisseur]]="","",IFERROR(VLOOKUP(Tableau1[[#This Row],[Fournisseur]],SuiviFrs,2,FALSE),"Vérifier la syntaxe : Fournisseur introuvable au niveau du suivi des conventions"))</f>
        <v/>
      </c>
      <c r="H579" s="7">
        <f>++IF(Tableau1[[#This Row],[Fournisseur]]="","",C579+G579-1)</f>
        <v/>
      </c>
      <c r="I579" s="8">
        <f>++IF(Tableau1[[#This Row],[Fournisseur]]="","",IF(H579-Tableau1[[#This Row],[Date Paiement Effectif]]&gt;0," ",H579-Tableau1[[#This Row],[Date Paiement Effectif]]))</f>
        <v/>
      </c>
      <c r="J579" s="9">
        <f>++IF(Tableau1[[#This Row],[Fournisseur]]="","",IF(Tableau1[[#This Row],[Date Paiement Effectif]]="","Non encore payée",IF(I579&lt;0,"Attention, paiement hors délais","OK RAS")))</f>
        <v/>
      </c>
      <c r="K579" s="54" t="n">
        <v>46063</v>
      </c>
      <c r="L579" s="54" t="n"/>
      <c r="M579" s="31" t="n"/>
    </row>
    <row r="580" ht="14.25" customHeight="1">
      <c r="B580" s="78" t="n"/>
      <c r="D580" s="77" t="n"/>
      <c r="E580" s="46" t="n"/>
      <c r="F580" s="67" t="n"/>
      <c r="G580" s="2">
        <f>+IF(Tableau1[[#This Row],[Fournisseur]]="","",IFERROR(VLOOKUP(Tableau1[[#This Row],[Fournisseur]],SuiviFrs,2,FALSE),"Vérifier la syntaxe : Fournisseur introuvable au niveau du suivi des conventions"))</f>
        <v/>
      </c>
      <c r="H580" s="7">
        <f>++IF(Tableau1[[#This Row],[Fournisseur]]="","",C580+G580-1)</f>
        <v/>
      </c>
      <c r="I580" s="8">
        <f>++IF(Tableau1[[#This Row],[Fournisseur]]="","",IF(H580-Tableau1[[#This Row],[Date Paiement Effectif]]&gt;0," ",H580-Tableau1[[#This Row],[Date Paiement Effectif]]))</f>
        <v/>
      </c>
      <c r="J580" s="9">
        <f>++IF(Tableau1[[#This Row],[Fournisseur]]="","",IF(Tableau1[[#This Row],[Date Paiement Effectif]]="","Non encore payée",IF(I580&lt;0,"Attention, paiement hors délais","OK RAS")))</f>
        <v/>
      </c>
      <c r="K580" s="54" t="n">
        <v>46063</v>
      </c>
      <c r="L580" s="54" t="n"/>
      <c r="M580" s="31" t="n"/>
    </row>
    <row r="581" ht="14.25" customHeight="1">
      <c r="B581" s="78" t="n"/>
      <c r="D581" s="77" t="n"/>
      <c r="E581" s="46" t="n"/>
      <c r="F581" s="67" t="n"/>
      <c r="G581" s="2">
        <f>+IF(Tableau1[[#This Row],[Fournisseur]]="","",IFERROR(VLOOKUP(Tableau1[[#This Row],[Fournisseur]],SuiviFrs,2,FALSE),"Vérifier la syntaxe : Fournisseur introuvable au niveau du suivi des conventions"))</f>
        <v/>
      </c>
      <c r="H581" s="7">
        <f>++IF(Tableau1[[#This Row],[Fournisseur]]="","",C581+G581-1)</f>
        <v/>
      </c>
      <c r="I581" s="8">
        <f>++IF(Tableau1[[#This Row],[Fournisseur]]="","",IF(H581-Tableau1[[#This Row],[Date Paiement Effectif]]&gt;0," ",H581-Tableau1[[#This Row],[Date Paiement Effectif]]))</f>
        <v/>
      </c>
      <c r="J581" s="9">
        <f>++IF(Tableau1[[#This Row],[Fournisseur]]="","",IF(Tableau1[[#This Row],[Date Paiement Effectif]]="","Non encore payée",IF(I581&lt;0,"Attention, paiement hors délais","OK RAS")))</f>
        <v/>
      </c>
      <c r="K581" s="54" t="n">
        <v>46063</v>
      </c>
      <c r="L581" s="54" t="n"/>
      <c r="M581" s="31" t="n"/>
    </row>
    <row r="582" ht="14.25" customHeight="1">
      <c r="B582" s="78" t="n"/>
      <c r="D582" s="77" t="n"/>
      <c r="E582" s="46" t="n"/>
      <c r="F582" s="67" t="n"/>
      <c r="G582" s="2">
        <f>+IF(Tableau1[[#This Row],[Fournisseur]]="","",IFERROR(VLOOKUP(Tableau1[[#This Row],[Fournisseur]],SuiviFrs,2,FALSE),"Vérifier la syntaxe : Fournisseur introuvable au niveau du suivi des conventions"))</f>
        <v/>
      </c>
      <c r="H582" s="7">
        <f>++IF(Tableau1[[#This Row],[Fournisseur]]="","",C582+G582-1)</f>
        <v/>
      </c>
      <c r="I582" s="8">
        <f>++IF(Tableau1[[#This Row],[Fournisseur]]="","",IF(H582-Tableau1[[#This Row],[Date Paiement Effectif]]&gt;0," ",H582-Tableau1[[#This Row],[Date Paiement Effectif]]))</f>
        <v/>
      </c>
      <c r="J582" s="9">
        <f>++IF(Tableau1[[#This Row],[Fournisseur]]="","",IF(Tableau1[[#This Row],[Date Paiement Effectif]]="","Non encore payée",IF(I582&lt;0,"Attention, paiement hors délais","OK RAS")))</f>
        <v/>
      </c>
      <c r="K582" s="54" t="n">
        <v>46063</v>
      </c>
      <c r="L582" s="54" t="n"/>
      <c r="M582" s="31" t="n"/>
    </row>
    <row r="583" ht="14.25" customHeight="1">
      <c r="B583" s="78" t="n"/>
      <c r="D583" s="77" t="n"/>
      <c r="E583" s="46" t="n"/>
      <c r="F583" s="67" t="n"/>
      <c r="G583" s="2">
        <f>+IF(Tableau1[[#This Row],[Fournisseur]]="","",IFERROR(VLOOKUP(Tableau1[[#This Row],[Fournisseur]],SuiviFrs,2,FALSE),"Vérifier la syntaxe : Fournisseur introuvable au niveau du suivi des conventions"))</f>
        <v/>
      </c>
      <c r="H583" s="7">
        <f>++IF(Tableau1[[#This Row],[Fournisseur]]="","",C583+G583-1)</f>
        <v/>
      </c>
      <c r="I583" s="8">
        <f>++IF(Tableau1[[#This Row],[Fournisseur]]="","",IF(H583-Tableau1[[#This Row],[Date Paiement Effectif]]&gt;0," ",H583-Tableau1[[#This Row],[Date Paiement Effectif]]))</f>
        <v/>
      </c>
      <c r="J583" s="9">
        <f>++IF(Tableau1[[#This Row],[Fournisseur]]="","",IF(Tableau1[[#This Row],[Date Paiement Effectif]]="","Non encore payée",IF(I583&lt;0,"Attention, paiement hors délais","OK RAS")))</f>
        <v/>
      </c>
      <c r="K583" s="54" t="n">
        <v>46063</v>
      </c>
      <c r="L583" s="54" t="n"/>
      <c r="M583" s="31" t="n"/>
    </row>
    <row r="584" ht="14.25" customHeight="1">
      <c r="B584" s="78" t="n"/>
      <c r="D584" s="77" t="n"/>
      <c r="E584" s="46" t="n"/>
      <c r="F584" s="67" t="n"/>
      <c r="G584" s="2">
        <f>+IF(Tableau1[[#This Row],[Fournisseur]]="","",IFERROR(VLOOKUP(Tableau1[[#This Row],[Fournisseur]],SuiviFrs,2,FALSE),"Vérifier la syntaxe : Fournisseur introuvable au niveau du suivi des conventions"))</f>
        <v/>
      </c>
      <c r="H584" s="7">
        <f>++IF(Tableau1[[#This Row],[Fournisseur]]="","",C584+G584-1)</f>
        <v/>
      </c>
      <c r="I584" s="8">
        <f>++IF(Tableau1[[#This Row],[Fournisseur]]="","",IF(H584-Tableau1[[#This Row],[Date Paiement Effectif]]&gt;0," ",H584-Tableau1[[#This Row],[Date Paiement Effectif]]))</f>
        <v/>
      </c>
      <c r="J584" s="9">
        <f>++IF(Tableau1[[#This Row],[Fournisseur]]="","",IF(Tableau1[[#This Row],[Date Paiement Effectif]]="","Non encore payée",IF(I584&lt;0,"Attention, paiement hors délais","OK RAS")))</f>
        <v/>
      </c>
      <c r="K584" s="54" t="n">
        <v>46063</v>
      </c>
      <c r="L584" s="54" t="n"/>
      <c r="M584" s="31" t="n"/>
    </row>
    <row r="585" ht="14.25" customHeight="1">
      <c r="B585" s="78" t="n"/>
      <c r="D585" s="77" t="n"/>
      <c r="E585" s="46" t="n"/>
      <c r="F585" s="67" t="n"/>
      <c r="G585" s="2">
        <f>+IF(Tableau1[[#This Row],[Fournisseur]]="","",IFERROR(VLOOKUP(Tableau1[[#This Row],[Fournisseur]],SuiviFrs,2,FALSE),"Vérifier la syntaxe : Fournisseur introuvable au niveau du suivi des conventions"))</f>
        <v/>
      </c>
      <c r="H585" s="7">
        <f>++IF(Tableau1[[#This Row],[Fournisseur]]="","",C585+G585-1)</f>
        <v/>
      </c>
      <c r="I585" s="8">
        <f>++IF(Tableau1[[#This Row],[Fournisseur]]="","",IF(H585-Tableau1[[#This Row],[Date Paiement Effectif]]&gt;0," ",H585-Tableau1[[#This Row],[Date Paiement Effectif]]))</f>
        <v/>
      </c>
      <c r="J585" s="9">
        <f>++IF(Tableau1[[#This Row],[Fournisseur]]="","",IF(Tableau1[[#This Row],[Date Paiement Effectif]]="","Non encore payée",IF(I585&lt;0,"Attention, paiement hors délais","OK RAS")))</f>
        <v/>
      </c>
      <c r="K585" s="54" t="n">
        <v>46063</v>
      </c>
      <c r="L585" s="54" t="n"/>
      <c r="M585" s="31" t="n"/>
    </row>
    <row r="586" ht="14.25" customHeight="1">
      <c r="B586" s="78" t="n"/>
      <c r="D586" s="77" t="n"/>
      <c r="E586" s="46" t="n"/>
      <c r="F586" s="67" t="n"/>
      <c r="G586" s="2">
        <f>+IF(Tableau1[[#This Row],[Fournisseur]]="","",IFERROR(VLOOKUP(Tableau1[[#This Row],[Fournisseur]],SuiviFrs,2,FALSE),"Vérifier la syntaxe : Fournisseur introuvable au niveau du suivi des conventions"))</f>
        <v/>
      </c>
      <c r="H586" s="7">
        <f>++IF(Tableau1[[#This Row],[Fournisseur]]="","",C586+G586-1)</f>
        <v/>
      </c>
      <c r="I586" s="8">
        <f>++IF(Tableau1[[#This Row],[Fournisseur]]="","",IF(H586-Tableau1[[#This Row],[Date Paiement Effectif]]&gt;0," ",H586-Tableau1[[#This Row],[Date Paiement Effectif]]))</f>
        <v/>
      </c>
      <c r="J586" s="9">
        <f>++IF(Tableau1[[#This Row],[Fournisseur]]="","",IF(Tableau1[[#This Row],[Date Paiement Effectif]]="","Non encore payée",IF(I586&lt;0,"Attention, paiement hors délais","OK RAS")))</f>
        <v/>
      </c>
      <c r="K586" s="54" t="n">
        <v>46063</v>
      </c>
      <c r="L586" s="54" t="n"/>
      <c r="M586" s="31" t="n"/>
    </row>
    <row r="587" ht="14.25" customHeight="1">
      <c r="B587" s="78" t="n"/>
      <c r="D587" s="77" t="n"/>
      <c r="E587" s="46" t="n"/>
      <c r="F587" s="67" t="n"/>
      <c r="G587" s="2">
        <f>+IF(Tableau1[[#This Row],[Fournisseur]]="","",IFERROR(VLOOKUP(Tableau1[[#This Row],[Fournisseur]],SuiviFrs,2,FALSE),"Vérifier la syntaxe : Fournisseur introuvable au niveau du suivi des conventions"))</f>
        <v/>
      </c>
      <c r="H587" s="7">
        <f>++IF(Tableau1[[#This Row],[Fournisseur]]="","",C587+G587-1)</f>
        <v/>
      </c>
      <c r="I587" s="8">
        <f>++IF(Tableau1[[#This Row],[Fournisseur]]="","",IF(H587-Tableau1[[#This Row],[Date Paiement Effectif]]&gt;0," ",H587-Tableau1[[#This Row],[Date Paiement Effectif]]))</f>
        <v/>
      </c>
      <c r="J587" s="9">
        <f>++IF(Tableau1[[#This Row],[Fournisseur]]="","",IF(Tableau1[[#This Row],[Date Paiement Effectif]]="","Non encore payée",IF(I587&lt;0,"Attention, paiement hors délais","OK RAS")))</f>
        <v/>
      </c>
      <c r="K587" s="54" t="n">
        <v>46063</v>
      </c>
      <c r="L587" s="54" t="n"/>
      <c r="M587" s="31" t="n"/>
    </row>
    <row r="588" ht="14.25" customHeight="1">
      <c r="B588" s="78" t="n"/>
      <c r="D588" s="77" t="n"/>
      <c r="E588" s="46" t="n"/>
      <c r="F588" s="67" t="n"/>
      <c r="G588" s="2">
        <f>+IF(Tableau1[[#This Row],[Fournisseur]]="","",IFERROR(VLOOKUP(Tableau1[[#This Row],[Fournisseur]],SuiviFrs,2,FALSE),"Vérifier la syntaxe : Fournisseur introuvable au niveau du suivi des conventions"))</f>
        <v/>
      </c>
      <c r="H588" s="7">
        <f>++IF(Tableau1[[#This Row],[Fournisseur]]="","",C588+G588-1)</f>
        <v/>
      </c>
      <c r="I588" s="8">
        <f>++IF(Tableau1[[#This Row],[Fournisseur]]="","",IF(H588-Tableau1[[#This Row],[Date Paiement Effectif]]&gt;0," ",H588-Tableau1[[#This Row],[Date Paiement Effectif]]))</f>
        <v/>
      </c>
      <c r="J588" s="9">
        <f>++IF(Tableau1[[#This Row],[Fournisseur]]="","",IF(Tableau1[[#This Row],[Date Paiement Effectif]]="","Non encore payée",IF(I588&lt;0,"Attention, paiement hors délais","OK RAS")))</f>
        <v/>
      </c>
      <c r="K588" s="54" t="n">
        <v>46063</v>
      </c>
      <c r="L588" s="54" t="n"/>
      <c r="M588" s="31" t="n"/>
    </row>
    <row r="589" ht="14.25" customHeight="1">
      <c r="B589" s="78" t="n"/>
      <c r="D589" s="77" t="n"/>
      <c r="E589" s="46" t="n"/>
      <c r="F589" s="67" t="n"/>
      <c r="G589" s="2">
        <f>+IF(Tableau1[[#This Row],[Fournisseur]]="","",IFERROR(VLOOKUP(Tableau1[[#This Row],[Fournisseur]],SuiviFrs,2,FALSE),"Vérifier la syntaxe : Fournisseur introuvable au niveau du suivi des conventions"))</f>
        <v/>
      </c>
      <c r="H589" s="7">
        <f>++IF(Tableau1[[#This Row],[Fournisseur]]="","",C589+G589-1)</f>
        <v/>
      </c>
      <c r="I589" s="8">
        <f>++IF(Tableau1[[#This Row],[Fournisseur]]="","",IF(H589-Tableau1[[#This Row],[Date Paiement Effectif]]&gt;0," ",H589-Tableau1[[#This Row],[Date Paiement Effectif]]))</f>
        <v/>
      </c>
      <c r="J589" s="9">
        <f>++IF(Tableau1[[#This Row],[Fournisseur]]="","",IF(Tableau1[[#This Row],[Date Paiement Effectif]]="","Non encore payée",IF(I589&lt;0,"Attention, paiement hors délais","OK RAS")))</f>
        <v/>
      </c>
      <c r="K589" s="54" t="n">
        <v>46063</v>
      </c>
      <c r="L589" s="54" t="n"/>
      <c r="M589" s="31" t="n"/>
    </row>
    <row r="590" ht="14.25" customHeight="1">
      <c r="B590" s="78" t="n"/>
      <c r="D590" s="77" t="n"/>
      <c r="E590" s="46" t="n"/>
      <c r="F590" s="67" t="n"/>
      <c r="G590" s="2">
        <f>+IF(Tableau1[[#This Row],[Fournisseur]]="","",IFERROR(VLOOKUP(Tableau1[[#This Row],[Fournisseur]],SuiviFrs,2,FALSE),"Vérifier la syntaxe : Fournisseur introuvable au niveau du suivi des conventions"))</f>
        <v/>
      </c>
      <c r="H590" s="7">
        <f>++IF(Tableau1[[#This Row],[Fournisseur]]="","",C590+G590-1)</f>
        <v/>
      </c>
      <c r="I590" s="8">
        <f>++IF(Tableau1[[#This Row],[Fournisseur]]="","",IF(H590-Tableau1[[#This Row],[Date Paiement Effectif]]&gt;0," ",H590-Tableau1[[#This Row],[Date Paiement Effectif]]))</f>
        <v/>
      </c>
      <c r="J590" s="9">
        <f>++IF(Tableau1[[#This Row],[Fournisseur]]="","",IF(Tableau1[[#This Row],[Date Paiement Effectif]]="","Non encore payée",IF(I590&lt;0,"Attention, paiement hors délais","OK RAS")))</f>
        <v/>
      </c>
      <c r="K590" s="54" t="n">
        <v>46063</v>
      </c>
      <c r="L590" s="54" t="n"/>
      <c r="M590" s="31" t="n"/>
    </row>
    <row r="591" ht="14.25" customHeight="1">
      <c r="B591" s="78" t="n"/>
      <c r="D591" s="77" t="n"/>
      <c r="E591" s="46" t="n"/>
      <c r="F591" s="67" t="n"/>
      <c r="G591" s="2">
        <f>+IF(Tableau1[[#This Row],[Fournisseur]]="","",IFERROR(VLOOKUP(Tableau1[[#This Row],[Fournisseur]],SuiviFrs,2,FALSE),"Vérifier la syntaxe : Fournisseur introuvable au niveau du suivi des conventions"))</f>
        <v/>
      </c>
      <c r="H591" s="7">
        <f>++IF(Tableau1[[#This Row],[Fournisseur]]="","",C591+G591-1)</f>
        <v/>
      </c>
      <c r="I591" s="8">
        <f>++IF(Tableau1[[#This Row],[Fournisseur]]="","",IF(H591-Tableau1[[#This Row],[Date Paiement Effectif]]&gt;0," ",H591-Tableau1[[#This Row],[Date Paiement Effectif]]))</f>
        <v/>
      </c>
      <c r="J591" s="9">
        <f>++IF(Tableau1[[#This Row],[Fournisseur]]="","",IF(Tableau1[[#This Row],[Date Paiement Effectif]]="","Non encore payée",IF(I591&lt;0,"Attention, paiement hors délais","OK RAS")))</f>
        <v/>
      </c>
      <c r="K591" s="54" t="n">
        <v>46063</v>
      </c>
      <c r="L591" s="54" t="n"/>
      <c r="M591" s="31" t="n"/>
    </row>
    <row r="592" ht="14.25" customHeight="1">
      <c r="B592" s="78" t="n"/>
      <c r="D592" s="77" t="n"/>
      <c r="E592" s="46" t="n"/>
      <c r="F592" s="67" t="n"/>
      <c r="G592" s="2">
        <f>+IF(Tableau1[[#This Row],[Fournisseur]]="","",IFERROR(VLOOKUP(Tableau1[[#This Row],[Fournisseur]],SuiviFrs,2,FALSE),"Vérifier la syntaxe : Fournisseur introuvable au niveau du suivi des conventions"))</f>
        <v/>
      </c>
      <c r="H592" s="7">
        <f>++IF(Tableau1[[#This Row],[Fournisseur]]="","",C592+G592-1)</f>
        <v/>
      </c>
      <c r="I592" s="8">
        <f>++IF(Tableau1[[#This Row],[Fournisseur]]="","",IF(H592-Tableau1[[#This Row],[Date Paiement Effectif]]&gt;0," ",H592-Tableau1[[#This Row],[Date Paiement Effectif]]))</f>
        <v/>
      </c>
      <c r="J592" s="9">
        <f>++IF(Tableau1[[#This Row],[Fournisseur]]="","",IF(Tableau1[[#This Row],[Date Paiement Effectif]]="","Non encore payée",IF(I592&lt;0,"Attention, paiement hors délais","OK RAS")))</f>
        <v/>
      </c>
      <c r="K592" s="54" t="n">
        <v>46063</v>
      </c>
      <c r="L592" s="54" t="n"/>
      <c r="M592" s="31" t="n"/>
    </row>
    <row r="593" ht="14.25" customHeight="1">
      <c r="B593" s="78" t="n"/>
      <c r="D593" s="77" t="n"/>
      <c r="E593" s="46" t="n"/>
      <c r="F593" s="67" t="n"/>
      <c r="G593" s="2">
        <f>+IF(Tableau1[[#This Row],[Fournisseur]]="","",IFERROR(VLOOKUP(Tableau1[[#This Row],[Fournisseur]],SuiviFrs,2,FALSE),"Vérifier la syntaxe : Fournisseur introuvable au niveau du suivi des conventions"))</f>
        <v/>
      </c>
      <c r="H593" s="7">
        <f>++IF(Tableau1[[#This Row],[Fournisseur]]="","",C593+G593-1)</f>
        <v/>
      </c>
      <c r="I593" s="8">
        <f>++IF(Tableau1[[#This Row],[Fournisseur]]="","",IF(H593-Tableau1[[#This Row],[Date Paiement Effectif]]&gt;0," ",H593-Tableau1[[#This Row],[Date Paiement Effectif]]))</f>
        <v/>
      </c>
      <c r="J593" s="9">
        <f>++IF(Tableau1[[#This Row],[Fournisseur]]="","",IF(Tableau1[[#This Row],[Date Paiement Effectif]]="","Non encore payée",IF(I593&lt;0,"Attention, paiement hors délais","OK RAS")))</f>
        <v/>
      </c>
      <c r="K593" s="54" t="n">
        <v>46063</v>
      </c>
      <c r="L593" s="54" t="n"/>
      <c r="M593" s="31" t="n"/>
    </row>
    <row r="594" ht="14.25" customHeight="1">
      <c r="B594" s="78" t="n"/>
      <c r="D594" s="77" t="n"/>
      <c r="E594" s="46" t="n"/>
      <c r="F594" s="67" t="n"/>
      <c r="G594" s="2">
        <f>+IF(Tableau1[[#This Row],[Fournisseur]]="","",IFERROR(VLOOKUP(Tableau1[[#This Row],[Fournisseur]],SuiviFrs,2,FALSE),"Vérifier la syntaxe : Fournisseur introuvable au niveau du suivi des conventions"))</f>
        <v/>
      </c>
      <c r="H594" s="7">
        <f>++IF(Tableau1[[#This Row],[Fournisseur]]="","",C594+G594-1)</f>
        <v/>
      </c>
      <c r="I594" s="8">
        <f>++IF(Tableau1[[#This Row],[Fournisseur]]="","",IF(H594-Tableau1[[#This Row],[Date Paiement Effectif]]&gt;0," ",H594-Tableau1[[#This Row],[Date Paiement Effectif]]))</f>
        <v/>
      </c>
      <c r="J594" s="9">
        <f>++IF(Tableau1[[#This Row],[Fournisseur]]="","",IF(Tableau1[[#This Row],[Date Paiement Effectif]]="","Non encore payée",IF(I594&lt;0,"Attention, paiement hors délais","OK RAS")))</f>
        <v/>
      </c>
      <c r="K594" s="54" t="n">
        <v>46063</v>
      </c>
      <c r="L594" s="54" t="n"/>
      <c r="M594" s="31" t="n"/>
    </row>
    <row r="595" ht="14.25" customHeight="1">
      <c r="B595" s="78" t="n"/>
      <c r="D595" s="77" t="n"/>
      <c r="E595" s="46" t="n"/>
      <c r="F595" s="67" t="n"/>
      <c r="G595" s="2">
        <f>+IF(Tableau1[[#This Row],[Fournisseur]]="","",IFERROR(VLOOKUP(Tableau1[[#This Row],[Fournisseur]],SuiviFrs,2,FALSE),"Vérifier la syntaxe : Fournisseur introuvable au niveau du suivi des conventions"))</f>
        <v/>
      </c>
      <c r="H595" s="7">
        <f>++IF(Tableau1[[#This Row],[Fournisseur]]="","",C595+G595-1)</f>
        <v/>
      </c>
      <c r="I595" s="8">
        <f>++IF(Tableau1[[#This Row],[Fournisseur]]="","",IF(H595-Tableau1[[#This Row],[Date Paiement Effectif]]&gt;0," ",H595-Tableau1[[#This Row],[Date Paiement Effectif]]))</f>
        <v/>
      </c>
      <c r="J595" s="9">
        <f>++IF(Tableau1[[#This Row],[Fournisseur]]="","",IF(Tableau1[[#This Row],[Date Paiement Effectif]]="","Non encore payée",IF(I595&lt;0,"Attention, paiement hors délais","OK RAS")))</f>
        <v/>
      </c>
      <c r="K595" s="54" t="n">
        <v>46063</v>
      </c>
      <c r="L595" s="54" t="n"/>
      <c r="M595" s="31" t="n"/>
    </row>
    <row r="596" ht="14.25" customHeight="1">
      <c r="B596" s="78" t="n"/>
      <c r="D596" s="77" t="n"/>
      <c r="E596" s="46" t="n"/>
      <c r="F596" s="67" t="n"/>
      <c r="G596" s="2">
        <f>+IF(Tableau1[[#This Row],[Fournisseur]]="","",IFERROR(VLOOKUP(Tableau1[[#This Row],[Fournisseur]],SuiviFrs,2,FALSE),"Vérifier la syntaxe : Fournisseur introuvable au niveau du suivi des conventions"))</f>
        <v/>
      </c>
      <c r="H596" s="7">
        <f>++IF(Tableau1[[#This Row],[Fournisseur]]="","",C596+G596-1)</f>
        <v/>
      </c>
      <c r="I596" s="8">
        <f>++IF(Tableau1[[#This Row],[Fournisseur]]="","",IF(H596-Tableau1[[#This Row],[Date Paiement Effectif]]&gt;0," ",H596-Tableau1[[#This Row],[Date Paiement Effectif]]))</f>
        <v/>
      </c>
      <c r="J596" s="9">
        <f>++IF(Tableau1[[#This Row],[Fournisseur]]="","",IF(Tableau1[[#This Row],[Date Paiement Effectif]]="","Non encore payée",IF(I596&lt;0,"Attention, paiement hors délais","OK RAS")))</f>
        <v/>
      </c>
      <c r="K596" s="31" t="n"/>
      <c r="L596" s="31" t="n"/>
      <c r="M596" s="31" t="n"/>
    </row>
    <row r="597" ht="14.25" customHeight="1">
      <c r="B597" s="78" t="n"/>
      <c r="D597" s="77" t="n"/>
      <c r="E597" s="46" t="n"/>
      <c r="F597" s="67" t="n"/>
      <c r="G597" s="2">
        <f>+IF(Tableau1[[#This Row],[Fournisseur]]="","",IFERROR(VLOOKUP(Tableau1[[#This Row],[Fournisseur]],SuiviFrs,2,FALSE),"Vérifier la syntaxe : Fournisseur introuvable au niveau du suivi des conventions"))</f>
        <v/>
      </c>
      <c r="H597" s="7">
        <f>++IF(Tableau1[[#This Row],[Fournisseur]]="","",C597+G597-1)</f>
        <v/>
      </c>
      <c r="I597" s="8">
        <f>++IF(Tableau1[[#This Row],[Fournisseur]]="","",IF(H597-Tableau1[[#This Row],[Date Paiement Effectif]]&gt;0," ",H597-Tableau1[[#This Row],[Date Paiement Effectif]]))</f>
        <v/>
      </c>
      <c r="J597" s="9">
        <f>++IF(Tableau1[[#This Row],[Fournisseur]]="","",IF(Tableau1[[#This Row],[Date Paiement Effectif]]="","Non encore payée",IF(I597&lt;0,"Attention, paiement hors délais","OK RAS")))</f>
        <v/>
      </c>
      <c r="K597" s="31" t="n"/>
      <c r="L597" s="31" t="n"/>
      <c r="M597" s="31" t="n"/>
    </row>
    <row r="598" ht="14.25" customHeight="1">
      <c r="B598" s="78" t="n"/>
      <c r="D598" s="77" t="n"/>
      <c r="E598" s="46" t="n"/>
      <c r="F598" s="67" t="n"/>
      <c r="G598" s="2">
        <f>+IF(Tableau1[[#This Row],[Fournisseur]]="","",IFERROR(VLOOKUP(Tableau1[[#This Row],[Fournisseur]],SuiviFrs,2,FALSE),"Vérifier la syntaxe : Fournisseur introuvable au niveau du suivi des conventions"))</f>
        <v/>
      </c>
      <c r="H598" s="7">
        <f>++IF(Tableau1[[#This Row],[Fournisseur]]="","",C598+G598-1)</f>
        <v/>
      </c>
      <c r="I598" s="8">
        <f>++IF(Tableau1[[#This Row],[Fournisseur]]="","",IF(H598-Tableau1[[#This Row],[Date Paiement Effectif]]&gt;0," ",H598-Tableau1[[#This Row],[Date Paiement Effectif]]))</f>
        <v/>
      </c>
      <c r="J598" s="9">
        <f>++IF(Tableau1[[#This Row],[Fournisseur]]="","",IF(Tableau1[[#This Row],[Date Paiement Effectif]]="","Non encore payée",IF(I598&lt;0,"Attention, paiement hors délais","OK RAS")))</f>
        <v/>
      </c>
      <c r="K598" s="31" t="n"/>
      <c r="L598" s="31" t="n"/>
      <c r="M598" s="31" t="n"/>
    </row>
    <row r="599" ht="14.25" customHeight="1">
      <c r="B599" s="78" t="n"/>
      <c r="D599" s="77" t="n"/>
      <c r="E599" s="46" t="n"/>
      <c r="F599" s="67" t="n"/>
      <c r="G599" s="2">
        <f>+IF(Tableau1[[#This Row],[Fournisseur]]="","",IFERROR(VLOOKUP(Tableau1[[#This Row],[Fournisseur]],SuiviFrs,2,FALSE),"Vérifier la syntaxe : Fournisseur introuvable au niveau du suivi des conventions"))</f>
        <v/>
      </c>
      <c r="H599" s="7">
        <f>++IF(Tableau1[[#This Row],[Fournisseur]]="","",C599+G599-1)</f>
        <v/>
      </c>
      <c r="I599" s="8">
        <f>++IF(Tableau1[[#This Row],[Fournisseur]]="","",IF(H599-Tableau1[[#This Row],[Date Paiement Effectif]]&gt;0," ",H599-Tableau1[[#This Row],[Date Paiement Effectif]]))</f>
        <v/>
      </c>
      <c r="J599" s="9">
        <f>++IF(Tableau1[[#This Row],[Fournisseur]]="","",IF(Tableau1[[#This Row],[Date Paiement Effectif]]="","Non encore payée",IF(I599&lt;0,"Attention, paiement hors délais","OK RAS")))</f>
        <v/>
      </c>
      <c r="K599" s="31" t="n"/>
      <c r="L599" s="31" t="n"/>
      <c r="M599" s="31" t="n"/>
    </row>
    <row r="600" ht="14.25" customHeight="1">
      <c r="B600" s="78" t="n"/>
      <c r="D600" s="77" t="n"/>
      <c r="E600" s="46" t="n"/>
      <c r="F600" s="67" t="n"/>
      <c r="G600" s="2">
        <f>+IF(Tableau1[[#This Row],[Fournisseur]]="","",IFERROR(VLOOKUP(Tableau1[[#This Row],[Fournisseur]],SuiviFrs,2,FALSE),"Vérifier la syntaxe : Fournisseur introuvable au niveau du suivi des conventions"))</f>
        <v/>
      </c>
      <c r="H600" s="7">
        <f>++IF(Tableau1[[#This Row],[Fournisseur]]="","",C600+G600-1)</f>
        <v/>
      </c>
      <c r="I600" s="8">
        <f>++IF(Tableau1[[#This Row],[Fournisseur]]="","",IF(H600-Tableau1[[#This Row],[Date Paiement Effectif]]&gt;0," ",H600-Tableau1[[#This Row],[Date Paiement Effectif]]))</f>
        <v/>
      </c>
      <c r="J600" s="9">
        <f>++IF(Tableau1[[#This Row],[Fournisseur]]="","",IF(Tableau1[[#This Row],[Date Paiement Effectif]]="","Non encore payée",IF(I600&lt;0,"Attention, paiement hors délais","OK RAS")))</f>
        <v/>
      </c>
      <c r="K600" s="31" t="n"/>
      <c r="L600" s="31" t="n"/>
      <c r="M600" s="31" t="n"/>
    </row>
    <row r="601" ht="14.25" customHeight="1">
      <c r="B601" s="78" t="n"/>
      <c r="D601" s="77" t="n"/>
      <c r="E601" s="46" t="n"/>
      <c r="F601" s="67" t="n"/>
      <c r="G601" s="2">
        <f>+IF(Tableau1[[#This Row],[Fournisseur]]="","",IFERROR(VLOOKUP(Tableau1[[#This Row],[Fournisseur]],SuiviFrs,2,FALSE),"Vérifier la syntaxe : Fournisseur introuvable au niveau du suivi des conventions"))</f>
        <v/>
      </c>
      <c r="H601" s="7">
        <f>++IF(Tableau1[[#This Row],[Fournisseur]]="","",C601+G601-1)</f>
        <v/>
      </c>
      <c r="I601" s="8">
        <f>++IF(Tableau1[[#This Row],[Fournisseur]]="","",IF(H601-Tableau1[[#This Row],[Date Paiement Effectif]]&gt;0," ",H601-Tableau1[[#This Row],[Date Paiement Effectif]]))</f>
        <v/>
      </c>
      <c r="J601" s="9">
        <f>++IF(Tableau1[[#This Row],[Fournisseur]]="","",IF(Tableau1[[#This Row],[Date Paiement Effectif]]="","Non encore payée",IF(I601&lt;0,"Attention, paiement hors délais","OK RAS")))</f>
        <v/>
      </c>
      <c r="K601" s="31" t="n"/>
      <c r="L601" s="31" t="n"/>
      <c r="M601" s="31" t="n"/>
    </row>
    <row r="602" ht="14.25" customHeight="1">
      <c r="B602" s="78" t="n"/>
      <c r="D602" s="77" t="n"/>
      <c r="E602" s="46" t="n"/>
      <c r="F602" s="67" t="n"/>
      <c r="G602" s="2">
        <f>+IF(Tableau1[[#This Row],[Fournisseur]]="","",IFERROR(VLOOKUP(Tableau1[[#This Row],[Fournisseur]],SuiviFrs,2,FALSE),"Vérifier la syntaxe : Fournisseur introuvable au niveau du suivi des conventions"))</f>
        <v/>
      </c>
      <c r="H602" s="7">
        <f>++IF(Tableau1[[#This Row],[Fournisseur]]="","",C602+G602-1)</f>
        <v/>
      </c>
      <c r="I602" s="8">
        <f>++IF(Tableau1[[#This Row],[Fournisseur]]="","",IF(H602-Tableau1[[#This Row],[Date Paiement Effectif]]&gt;0," ",H602-Tableau1[[#This Row],[Date Paiement Effectif]]))</f>
        <v/>
      </c>
      <c r="J602" s="9">
        <f>++IF(Tableau1[[#This Row],[Fournisseur]]="","",IF(Tableau1[[#This Row],[Date Paiement Effectif]]="","Non encore payée",IF(I602&lt;0,"Attention, paiement hors délais","OK RAS")))</f>
        <v/>
      </c>
      <c r="K602" s="31" t="n"/>
      <c r="L602" s="31" t="n"/>
      <c r="M602" s="31" t="n"/>
    </row>
    <row r="603" ht="14.25" customHeight="1">
      <c r="B603" s="78" t="n"/>
      <c r="D603" s="77" t="n"/>
      <c r="E603" s="46" t="n"/>
      <c r="F603" s="67" t="n"/>
      <c r="G603" s="2">
        <f>+IF(Tableau1[[#This Row],[Fournisseur]]="","",IFERROR(VLOOKUP(Tableau1[[#This Row],[Fournisseur]],SuiviFrs,2,FALSE),"Vérifier la syntaxe : Fournisseur introuvable au niveau du suivi des conventions"))</f>
        <v/>
      </c>
      <c r="H603" s="7">
        <f>++IF(Tableau1[[#This Row],[Fournisseur]]="","",C603+G603-1)</f>
        <v/>
      </c>
      <c r="I603" s="8">
        <f>++IF(Tableau1[[#This Row],[Fournisseur]]="","",IF(H603-Tableau1[[#This Row],[Date Paiement Effectif]]&gt;0," ",H603-Tableau1[[#This Row],[Date Paiement Effectif]]))</f>
        <v/>
      </c>
      <c r="J603" s="9">
        <f>++IF(Tableau1[[#This Row],[Fournisseur]]="","",IF(Tableau1[[#This Row],[Date Paiement Effectif]]="","Non encore payée",IF(I603&lt;0,"Attention, paiement hors délais","OK RAS")))</f>
        <v/>
      </c>
      <c r="K603" s="31" t="n"/>
      <c r="L603" s="31" t="n"/>
      <c r="M603" s="31" t="n"/>
    </row>
    <row r="604" ht="14.25" customHeight="1">
      <c r="B604" s="78" t="n"/>
      <c r="D604" s="77" t="n"/>
      <c r="E604" s="46" t="n"/>
      <c r="F604" s="67" t="n"/>
      <c r="G604" s="2">
        <f>+IF(Tableau1[[#This Row],[Fournisseur]]="","",IFERROR(VLOOKUP(Tableau1[[#This Row],[Fournisseur]],SuiviFrs,2,FALSE),"Vérifier la syntaxe : Fournisseur introuvable au niveau du suivi des conventions"))</f>
        <v/>
      </c>
      <c r="H604" s="7">
        <f>++IF(Tableau1[[#This Row],[Fournisseur]]="","",C604+G604-1)</f>
        <v/>
      </c>
      <c r="I604" s="8">
        <f>++IF(Tableau1[[#This Row],[Fournisseur]]="","",IF(H604-Tableau1[[#This Row],[Date Paiement Effectif]]&gt;0," ",H604-Tableau1[[#This Row],[Date Paiement Effectif]]))</f>
        <v/>
      </c>
      <c r="J604" s="9">
        <f>++IF(Tableau1[[#This Row],[Fournisseur]]="","",IF(Tableau1[[#This Row],[Date Paiement Effectif]]="","Non encore payée",IF(I604&lt;0,"Attention, paiement hors délais","OK RAS")))</f>
        <v/>
      </c>
      <c r="K604" s="31" t="n"/>
      <c r="L604" s="31" t="n"/>
      <c r="M604" s="31" t="n"/>
    </row>
    <row r="605" ht="14.25" customHeight="1">
      <c r="B605" s="78" t="n"/>
      <c r="D605" s="77" t="n"/>
      <c r="E605" s="46" t="n"/>
      <c r="F605" s="67" t="n"/>
      <c r="G605" s="2">
        <f>+IF(Tableau1[[#This Row],[Fournisseur]]="","",IFERROR(VLOOKUP(Tableau1[[#This Row],[Fournisseur]],SuiviFrs,2,FALSE),"Vérifier la syntaxe : Fournisseur introuvable au niveau du suivi des conventions"))</f>
        <v/>
      </c>
      <c r="H605" s="7">
        <f>++IF(Tableau1[[#This Row],[Fournisseur]]="","",C605+G605-1)</f>
        <v/>
      </c>
      <c r="I605" s="8">
        <f>++IF(Tableau1[[#This Row],[Fournisseur]]="","",IF(H605-Tableau1[[#This Row],[Date Paiement Effectif]]&gt;0," ",H605-Tableau1[[#This Row],[Date Paiement Effectif]]))</f>
        <v/>
      </c>
      <c r="J605" s="9">
        <f>++IF(Tableau1[[#This Row],[Fournisseur]]="","",IF(Tableau1[[#This Row],[Date Paiement Effectif]]="","Non encore payée",IF(I605&lt;0,"Attention, paiement hors délais","OK RAS")))</f>
        <v/>
      </c>
      <c r="K605" s="31" t="n"/>
      <c r="L605" s="31" t="n"/>
      <c r="M605" s="31" t="n"/>
    </row>
    <row r="606" ht="14.25" customHeight="1">
      <c r="B606" s="78" t="n"/>
      <c r="D606" s="77" t="n"/>
      <c r="E606" s="46" t="n"/>
      <c r="F606" s="67" t="n"/>
      <c r="G606" s="2">
        <f>+IF(Tableau1[[#This Row],[Fournisseur]]="","",IFERROR(VLOOKUP(Tableau1[[#This Row],[Fournisseur]],SuiviFrs,2,FALSE),"Vérifier la syntaxe : Fournisseur introuvable au niveau du suivi des conventions"))</f>
        <v/>
      </c>
      <c r="H606" s="7">
        <f>++IF(Tableau1[[#This Row],[Fournisseur]]="","",C606+G606-1)</f>
        <v/>
      </c>
      <c r="I606" s="8">
        <f>++IF(Tableau1[[#This Row],[Fournisseur]]="","",IF(H606-Tableau1[[#This Row],[Date Paiement Effectif]]&gt;0," ",H606-Tableau1[[#This Row],[Date Paiement Effectif]]))</f>
        <v/>
      </c>
      <c r="J606" s="9">
        <f>++IF(Tableau1[[#This Row],[Fournisseur]]="","",IF(Tableau1[[#This Row],[Date Paiement Effectif]]="","Non encore payée",IF(I606&lt;0,"Attention, paiement hors délais","OK RAS")))</f>
        <v/>
      </c>
      <c r="K606" s="31" t="n"/>
      <c r="L606" s="31" t="n"/>
      <c r="M606" s="31" t="n"/>
    </row>
    <row r="607" ht="14.25" customHeight="1">
      <c r="B607" s="78" t="n"/>
      <c r="D607" s="77" t="n"/>
      <c r="E607" s="46" t="n"/>
      <c r="F607" s="67" t="n"/>
      <c r="G607" s="2">
        <f>+IF(Tableau1[[#This Row],[Fournisseur]]="","",IFERROR(VLOOKUP(Tableau1[[#This Row],[Fournisseur]],SuiviFrs,2,FALSE),"Vérifier la syntaxe : Fournisseur introuvable au niveau du suivi des conventions"))</f>
        <v/>
      </c>
      <c r="H607" s="7">
        <f>++IF(Tableau1[[#This Row],[Fournisseur]]="","",C607+G607-1)</f>
        <v/>
      </c>
      <c r="I607" s="8">
        <f>++IF(Tableau1[[#This Row],[Fournisseur]]="","",IF(H607-Tableau1[[#This Row],[Date Paiement Effectif]]&gt;0," ",H607-Tableau1[[#This Row],[Date Paiement Effectif]]))</f>
        <v/>
      </c>
      <c r="J607" s="9">
        <f>++IF(Tableau1[[#This Row],[Fournisseur]]="","",IF(Tableau1[[#This Row],[Date Paiement Effectif]]="","Non encore payée",IF(I607&lt;0,"Attention, paiement hors délais","OK RAS")))</f>
        <v/>
      </c>
      <c r="K607" s="31" t="n"/>
      <c r="L607" s="31" t="n"/>
      <c r="M607" s="31" t="n"/>
    </row>
    <row r="608" ht="14.25" customHeight="1">
      <c r="B608" s="78" t="n"/>
      <c r="D608" s="77" t="n"/>
      <c r="E608" s="46" t="n"/>
      <c r="F608" s="67" t="n"/>
      <c r="G608" s="2">
        <f>+IF(Tableau1[[#This Row],[Fournisseur]]="","",IFERROR(VLOOKUP(Tableau1[[#This Row],[Fournisseur]],SuiviFrs,2,FALSE),"Vérifier la syntaxe : Fournisseur introuvable au niveau du suivi des conventions"))</f>
        <v/>
      </c>
      <c r="H608" s="7">
        <f>++IF(Tableau1[[#This Row],[Fournisseur]]="","",C608+G608-1)</f>
        <v/>
      </c>
      <c r="I608" s="8">
        <f>++IF(Tableau1[[#This Row],[Fournisseur]]="","",IF(H608-Tableau1[[#This Row],[Date Paiement Effectif]]&gt;0," ",H608-Tableau1[[#This Row],[Date Paiement Effectif]]))</f>
        <v/>
      </c>
      <c r="J608" s="9">
        <f>++IF(Tableau1[[#This Row],[Fournisseur]]="","",IF(Tableau1[[#This Row],[Date Paiement Effectif]]="","Non encore payée",IF(I608&lt;0,"Attention, paiement hors délais","OK RAS")))</f>
        <v/>
      </c>
      <c r="K608" s="31" t="n"/>
      <c r="L608" s="31" t="n"/>
      <c r="M608" s="31" t="n"/>
    </row>
    <row r="609" ht="14.25" customHeight="1">
      <c r="B609" s="78" t="n"/>
      <c r="D609" s="77" t="n"/>
      <c r="E609" s="46" t="n"/>
      <c r="F609" s="67" t="n"/>
      <c r="G609" s="2">
        <f>+IF(Tableau1[[#This Row],[Fournisseur]]="","",IFERROR(VLOOKUP(Tableau1[[#This Row],[Fournisseur]],SuiviFrs,2,FALSE),"Vérifier la syntaxe : Fournisseur introuvable au niveau du suivi des conventions"))</f>
        <v/>
      </c>
      <c r="H609" s="7">
        <f>++IF(Tableau1[[#This Row],[Fournisseur]]="","",C609+G609-1)</f>
        <v/>
      </c>
      <c r="I609" s="8">
        <f>++IF(Tableau1[[#This Row],[Fournisseur]]="","",IF(H609-Tableau1[[#This Row],[Date Paiement Effectif]]&gt;0," ",H609-Tableau1[[#This Row],[Date Paiement Effectif]]))</f>
        <v/>
      </c>
      <c r="J609" s="9">
        <f>++IF(Tableau1[[#This Row],[Fournisseur]]="","",IF(Tableau1[[#This Row],[Date Paiement Effectif]]="","Non encore payée",IF(I609&lt;0,"Attention, paiement hors délais","OK RAS")))</f>
        <v/>
      </c>
      <c r="K609" s="31" t="n"/>
      <c r="L609" s="31" t="n"/>
      <c r="M609" s="31" t="n"/>
    </row>
    <row r="610" ht="14.25" customHeight="1">
      <c r="B610" s="78" t="n"/>
      <c r="D610" s="77" t="n"/>
      <c r="E610" s="46" t="n"/>
      <c r="F610" s="67" t="n"/>
      <c r="G610" s="2">
        <f>+IF(Tableau1[[#This Row],[Fournisseur]]="","",IFERROR(VLOOKUP(Tableau1[[#This Row],[Fournisseur]],SuiviFrs,2,FALSE),"Vérifier la syntaxe : Fournisseur introuvable au niveau du suivi des conventions"))</f>
        <v/>
      </c>
      <c r="H610" s="7">
        <f>++IF(Tableau1[[#This Row],[Fournisseur]]="","",C610+G610-1)</f>
        <v/>
      </c>
      <c r="I610" s="8">
        <f>++IF(Tableau1[[#This Row],[Fournisseur]]="","",IF(H610-Tableau1[[#This Row],[Date Paiement Effectif]]&gt;0," ",H610-Tableau1[[#This Row],[Date Paiement Effectif]]))</f>
        <v/>
      </c>
      <c r="J610" s="9">
        <f>++IF(Tableau1[[#This Row],[Fournisseur]]="","",IF(Tableau1[[#This Row],[Date Paiement Effectif]]="","Non encore payée",IF(I610&lt;0,"Attention, paiement hors délais","OK RAS")))</f>
        <v/>
      </c>
      <c r="K610" s="31" t="n"/>
      <c r="L610" s="31" t="n"/>
      <c r="M610" s="31" t="n"/>
    </row>
    <row r="611" ht="14.25" customHeight="1">
      <c r="B611" s="78" t="n"/>
      <c r="D611" s="77" t="n"/>
      <c r="E611" s="46" t="n"/>
      <c r="F611" s="67" t="n"/>
      <c r="G611" s="2">
        <f>+IF(Tableau1[[#This Row],[Fournisseur]]="","",IFERROR(VLOOKUP(Tableau1[[#This Row],[Fournisseur]],SuiviFrs,2,FALSE),"Vérifier la syntaxe : Fournisseur introuvable au niveau du suivi des conventions"))</f>
        <v/>
      </c>
      <c r="H611" s="7">
        <f>++IF(Tableau1[[#This Row],[Fournisseur]]="","",C611+G611-1)</f>
        <v/>
      </c>
      <c r="I611" s="8">
        <f>++IF(Tableau1[[#This Row],[Fournisseur]]="","",IF(H611-Tableau1[[#This Row],[Date Paiement Effectif]]&gt;0," ",H611-Tableau1[[#This Row],[Date Paiement Effectif]]))</f>
        <v/>
      </c>
      <c r="J611" s="9">
        <f>++IF(Tableau1[[#This Row],[Fournisseur]]="","",IF(Tableau1[[#This Row],[Date Paiement Effectif]]="","Non encore payée",IF(I611&lt;0,"Attention, paiement hors délais","OK RAS")))</f>
        <v/>
      </c>
      <c r="K611" s="31" t="n"/>
      <c r="L611" s="31" t="n"/>
      <c r="M611" s="31" t="n"/>
    </row>
    <row r="612" ht="14.25" customHeight="1">
      <c r="B612" s="78" t="n"/>
      <c r="D612" s="77" t="n"/>
      <c r="E612" s="46" t="n"/>
      <c r="F612" s="67" t="n"/>
      <c r="G612" s="2">
        <f>+IF(Tableau1[[#This Row],[Fournisseur]]="","",IFERROR(VLOOKUP(Tableau1[[#This Row],[Fournisseur]],SuiviFrs,2,FALSE),"Vérifier la syntaxe : Fournisseur introuvable au niveau du suivi des conventions"))</f>
        <v/>
      </c>
      <c r="H612" s="7">
        <f>++IF(Tableau1[[#This Row],[Fournisseur]]="","",C612+G612-1)</f>
        <v/>
      </c>
      <c r="I612" s="8">
        <f>++IF(Tableau1[[#This Row],[Fournisseur]]="","",IF(H612-Tableau1[[#This Row],[Date Paiement Effectif]]&gt;0," ",H612-Tableau1[[#This Row],[Date Paiement Effectif]]))</f>
        <v/>
      </c>
      <c r="J612" s="9">
        <f>++IF(Tableau1[[#This Row],[Fournisseur]]="","",IF(Tableau1[[#This Row],[Date Paiement Effectif]]="","Non encore payée",IF(I612&lt;0,"Attention, paiement hors délais","OK RAS")))</f>
        <v/>
      </c>
      <c r="K612" s="31" t="n"/>
      <c r="L612" s="31" t="n"/>
      <c r="M612" s="31" t="n"/>
    </row>
    <row r="613" ht="14.25" customHeight="1">
      <c r="B613" s="78" t="n"/>
      <c r="D613" s="77" t="n"/>
      <c r="E613" s="46" t="n"/>
      <c r="F613" s="67" t="n"/>
      <c r="G613" s="2">
        <f>+IF(Tableau1[[#This Row],[Fournisseur]]="","",IFERROR(VLOOKUP(Tableau1[[#This Row],[Fournisseur]],SuiviFrs,2,FALSE),"Vérifier la syntaxe : Fournisseur introuvable au niveau du suivi des conventions"))</f>
        <v/>
      </c>
      <c r="H613" s="7">
        <f>++IF(Tableau1[[#This Row],[Fournisseur]]="","",C613+G613-1)</f>
        <v/>
      </c>
      <c r="I613" s="8">
        <f>++IF(Tableau1[[#This Row],[Fournisseur]]="","",IF(H613-Tableau1[[#This Row],[Date Paiement Effectif]]&gt;0," ",H613-Tableau1[[#This Row],[Date Paiement Effectif]]))</f>
        <v/>
      </c>
      <c r="J613" s="9">
        <f>++IF(Tableau1[[#This Row],[Fournisseur]]="","",IF(Tableau1[[#This Row],[Date Paiement Effectif]]="","Non encore payée",IF(I613&lt;0,"Attention, paiement hors délais","OK RAS")))</f>
        <v/>
      </c>
      <c r="K613" s="31" t="n"/>
      <c r="L613" s="31" t="n"/>
      <c r="M613" s="31" t="n"/>
    </row>
    <row r="614" ht="14.25" customHeight="1">
      <c r="B614" s="78" t="n"/>
      <c r="D614" s="77" t="n"/>
      <c r="E614" s="46" t="n"/>
      <c r="F614" s="67" t="n"/>
      <c r="G614" s="2">
        <f>+IF(Tableau1[[#This Row],[Fournisseur]]="","",IFERROR(VLOOKUP(Tableau1[[#This Row],[Fournisseur]],SuiviFrs,2,FALSE),"Vérifier la syntaxe : Fournisseur introuvable au niveau du suivi des conventions"))</f>
        <v/>
      </c>
      <c r="H614" s="7">
        <f>++IF(Tableau1[[#This Row],[Fournisseur]]="","",C614+G614-1)</f>
        <v/>
      </c>
      <c r="I614" s="8">
        <f>++IF(Tableau1[[#This Row],[Fournisseur]]="","",IF(H614-Tableau1[[#This Row],[Date Paiement Effectif]]&gt;0," ",H614-Tableau1[[#This Row],[Date Paiement Effectif]]))</f>
        <v/>
      </c>
      <c r="J614" s="9">
        <f>++IF(Tableau1[[#This Row],[Fournisseur]]="","",IF(Tableau1[[#This Row],[Date Paiement Effectif]]="","Non encore payée",IF(I614&lt;0,"Attention, paiement hors délais","OK RAS")))</f>
        <v/>
      </c>
      <c r="K614" s="31" t="n"/>
      <c r="L614" s="31" t="n"/>
      <c r="M614" s="31" t="n"/>
    </row>
    <row r="615" ht="14.25" customHeight="1">
      <c r="B615" s="78" t="n"/>
      <c r="D615" s="77" t="n"/>
      <c r="E615" s="46" t="n"/>
      <c r="F615" s="67" t="n"/>
      <c r="G615" s="2">
        <f>+IF(Tableau1[[#This Row],[Fournisseur]]="","",IFERROR(VLOOKUP(Tableau1[[#This Row],[Fournisseur]],SuiviFrs,2,FALSE),"Vérifier la syntaxe : Fournisseur introuvable au niveau du suivi des conventions"))</f>
        <v/>
      </c>
      <c r="H615" s="7">
        <f>++IF(Tableau1[[#This Row],[Fournisseur]]="","",C615+G615-1)</f>
        <v/>
      </c>
      <c r="I615" s="8">
        <f>++IF(Tableau1[[#This Row],[Fournisseur]]="","",IF(H615-Tableau1[[#This Row],[Date Paiement Effectif]]&gt;0," ",H615-Tableau1[[#This Row],[Date Paiement Effectif]]))</f>
        <v/>
      </c>
      <c r="J615" s="9">
        <f>++IF(Tableau1[[#This Row],[Fournisseur]]="","",IF(Tableau1[[#This Row],[Date Paiement Effectif]]="","Non encore payée",IF(I615&lt;0,"Attention, paiement hors délais","OK RAS")))</f>
        <v/>
      </c>
      <c r="K615" s="31" t="n"/>
      <c r="L615" s="31" t="n"/>
      <c r="M615" s="31" t="n"/>
    </row>
    <row r="616" ht="14.25" customHeight="1">
      <c r="B616" s="78" t="n"/>
      <c r="D616" s="77" t="n"/>
      <c r="E616" s="46" t="n"/>
      <c r="F616" s="67" t="n"/>
      <c r="G616" s="2">
        <f>+IF(Tableau1[[#This Row],[Fournisseur]]="","",IFERROR(VLOOKUP(Tableau1[[#This Row],[Fournisseur]],SuiviFrs,2,FALSE),"Vérifier la syntaxe : Fournisseur introuvable au niveau du suivi des conventions"))</f>
        <v/>
      </c>
      <c r="H616" s="7">
        <f>++IF(Tableau1[[#This Row],[Fournisseur]]="","",C616+G616-1)</f>
        <v/>
      </c>
      <c r="I616" s="8">
        <f>++IF(Tableau1[[#This Row],[Fournisseur]]="","",IF(H616-Tableau1[[#This Row],[Date Paiement Effectif]]&gt;0," ",H616-Tableau1[[#This Row],[Date Paiement Effectif]]))</f>
        <v/>
      </c>
      <c r="J616" s="9">
        <f>++IF(Tableau1[[#This Row],[Fournisseur]]="","",IF(Tableau1[[#This Row],[Date Paiement Effectif]]="","Non encore payée",IF(I616&lt;0,"Attention, paiement hors délais","OK RAS")))</f>
        <v/>
      </c>
      <c r="K616" s="31" t="n"/>
      <c r="L616" s="31" t="n"/>
      <c r="M616" s="31" t="n"/>
    </row>
    <row r="617" ht="14.25" customHeight="1">
      <c r="B617" s="78" t="n"/>
      <c r="D617" s="77" t="n"/>
      <c r="E617" s="46" t="n"/>
      <c r="F617" s="67" t="n"/>
      <c r="G617" s="2">
        <f>+IF(Tableau1[[#This Row],[Fournisseur]]="","",IFERROR(VLOOKUP(Tableau1[[#This Row],[Fournisseur]],SuiviFrs,2,FALSE),"Vérifier la syntaxe : Fournisseur introuvable au niveau du suivi des conventions"))</f>
        <v/>
      </c>
      <c r="H617" s="7">
        <f>++IF(Tableau1[[#This Row],[Fournisseur]]="","",C617+G617-1)</f>
        <v/>
      </c>
      <c r="I617" s="8">
        <f>++IF(Tableau1[[#This Row],[Fournisseur]]="","",IF(H617-Tableau1[[#This Row],[Date Paiement Effectif]]&gt;0," ",H617-Tableau1[[#This Row],[Date Paiement Effectif]]))</f>
        <v/>
      </c>
      <c r="J617" s="9">
        <f>++IF(Tableau1[[#This Row],[Fournisseur]]="","",IF(Tableau1[[#This Row],[Date Paiement Effectif]]="","Non encore payée",IF(I617&lt;0,"Attention, paiement hors délais","OK RAS")))</f>
        <v/>
      </c>
      <c r="K617" s="31" t="n"/>
      <c r="L617" s="31" t="n"/>
      <c r="M617" s="31" t="n"/>
    </row>
    <row r="618" ht="14.25" customHeight="1">
      <c r="B618" s="78" t="n"/>
      <c r="D618" s="77" t="n"/>
      <c r="E618" s="46" t="n"/>
      <c r="F618" s="67" t="n"/>
      <c r="G618" s="2">
        <f>+IF(Tableau1[[#This Row],[Fournisseur]]="","",IFERROR(VLOOKUP(Tableau1[[#This Row],[Fournisseur]],SuiviFrs,2,FALSE),"Vérifier la syntaxe : Fournisseur introuvable au niveau du suivi des conventions"))</f>
        <v/>
      </c>
      <c r="H618" s="7">
        <f>++IF(Tableau1[[#This Row],[Fournisseur]]="","",C618+G618-1)</f>
        <v/>
      </c>
      <c r="I618" s="8">
        <f>++IF(Tableau1[[#This Row],[Fournisseur]]="","",IF(H618-Tableau1[[#This Row],[Date Paiement Effectif]]&gt;0," ",H618-Tableau1[[#This Row],[Date Paiement Effectif]]))</f>
        <v/>
      </c>
      <c r="J618" s="9">
        <f>++IF(Tableau1[[#This Row],[Fournisseur]]="","",IF(Tableau1[[#This Row],[Date Paiement Effectif]]="","Non encore payée",IF(I618&lt;0,"Attention, paiement hors délais","OK RAS")))</f>
        <v/>
      </c>
      <c r="K618" s="31" t="n"/>
      <c r="L618" s="31" t="n"/>
      <c r="M618" s="31" t="n"/>
    </row>
    <row r="619" ht="14.25" customHeight="1">
      <c r="B619" s="78" t="n"/>
      <c r="D619" s="77" t="n"/>
      <c r="E619" s="46" t="n"/>
      <c r="F619" s="67" t="n"/>
      <c r="G619" s="2">
        <f>+IF(Tableau1[[#This Row],[Fournisseur]]="","",IFERROR(VLOOKUP(Tableau1[[#This Row],[Fournisseur]],SuiviFrs,2,FALSE),"Vérifier la syntaxe : Fournisseur introuvable au niveau du suivi des conventions"))</f>
        <v/>
      </c>
      <c r="H619" s="7">
        <f>++IF(Tableau1[[#This Row],[Fournisseur]]="","",C619+G619-1)</f>
        <v/>
      </c>
      <c r="I619" s="8">
        <f>++IF(Tableau1[[#This Row],[Fournisseur]]="","",IF(H619-Tableau1[[#This Row],[Date Paiement Effectif]]&gt;0," ",H619-Tableau1[[#This Row],[Date Paiement Effectif]]))</f>
        <v/>
      </c>
      <c r="J619" s="9">
        <f>++IF(Tableau1[[#This Row],[Fournisseur]]="","",IF(Tableau1[[#This Row],[Date Paiement Effectif]]="","Non encore payée",IF(I619&lt;0,"Attention, paiement hors délais","OK RAS")))</f>
        <v/>
      </c>
      <c r="K619" s="31" t="n"/>
      <c r="L619" s="31" t="n"/>
      <c r="M619" s="31" t="n"/>
    </row>
    <row r="620" ht="14.25" customHeight="1">
      <c r="B620" s="78" t="n"/>
      <c r="D620" s="77" t="n"/>
      <c r="E620" s="46" t="n"/>
      <c r="F620" s="67" t="n"/>
      <c r="G620" s="2">
        <f>+IF(Tableau1[[#This Row],[Fournisseur]]="","",IFERROR(VLOOKUP(Tableau1[[#This Row],[Fournisseur]],SuiviFrs,2,FALSE),"Vérifier la syntaxe : Fournisseur introuvable au niveau du suivi des conventions"))</f>
        <v/>
      </c>
      <c r="H620" s="7">
        <f>++IF(Tableau1[[#This Row],[Fournisseur]]="","",C620+G620-1)</f>
        <v/>
      </c>
      <c r="I620" s="8">
        <f>++IF(Tableau1[[#This Row],[Fournisseur]]="","",IF(H620-Tableau1[[#This Row],[Date Paiement Effectif]]&gt;0," ",H620-Tableau1[[#This Row],[Date Paiement Effectif]]))</f>
        <v/>
      </c>
      <c r="J620" s="9">
        <f>++IF(Tableau1[[#This Row],[Fournisseur]]="","",IF(Tableau1[[#This Row],[Date Paiement Effectif]]="","Non encore payée",IF(I620&lt;0,"Attention, paiement hors délais","OK RAS")))</f>
        <v/>
      </c>
      <c r="K620" s="31" t="n"/>
      <c r="L620" s="31" t="n"/>
      <c r="M620" s="31" t="n"/>
    </row>
    <row r="621" ht="14.25" customHeight="1">
      <c r="B621" s="78" t="n"/>
      <c r="D621" s="77" t="n"/>
      <c r="E621" s="46" t="n"/>
      <c r="F621" s="67" t="n"/>
      <c r="G621" s="2">
        <f>+IF(Tableau1[[#This Row],[Fournisseur]]="","",IFERROR(VLOOKUP(Tableau1[[#This Row],[Fournisseur]],SuiviFrs,2,FALSE),"Vérifier la syntaxe : Fournisseur introuvable au niveau du suivi des conventions"))</f>
        <v/>
      </c>
      <c r="H621" s="7">
        <f>++IF(Tableau1[[#This Row],[Fournisseur]]="","",C621+G621-1)</f>
        <v/>
      </c>
      <c r="I621" s="8">
        <f>++IF(Tableau1[[#This Row],[Fournisseur]]="","",IF(H621-Tableau1[[#This Row],[Date Paiement Effectif]]&gt;0," ",H621-Tableau1[[#This Row],[Date Paiement Effectif]]))</f>
        <v/>
      </c>
      <c r="J621" s="9">
        <f>++IF(Tableau1[[#This Row],[Fournisseur]]="","",IF(Tableau1[[#This Row],[Date Paiement Effectif]]="","Non encore payée",IF(I621&lt;0,"Attention, paiement hors délais","OK RAS")))</f>
        <v/>
      </c>
      <c r="K621" s="31" t="n"/>
      <c r="L621" s="31" t="n"/>
      <c r="M621" s="31" t="n"/>
    </row>
    <row r="622" ht="14.25" customHeight="1">
      <c r="B622" s="78" t="n"/>
      <c r="D622" s="77" t="n"/>
      <c r="E622" s="46" t="n"/>
      <c r="F622" s="67" t="n"/>
      <c r="G622" s="2">
        <f>+IF(Tableau1[[#This Row],[Fournisseur]]="","",IFERROR(VLOOKUP(Tableau1[[#This Row],[Fournisseur]],SuiviFrs,2,FALSE),"Vérifier la syntaxe : Fournisseur introuvable au niveau du suivi des conventions"))</f>
        <v/>
      </c>
      <c r="H622" s="7">
        <f>++IF(Tableau1[[#This Row],[Fournisseur]]="","",C622+G622-1)</f>
        <v/>
      </c>
      <c r="I622" s="8">
        <f>++IF(Tableau1[[#This Row],[Fournisseur]]="","",IF(H622-Tableau1[[#This Row],[Date Paiement Effectif]]&gt;0," ",H622-Tableau1[[#This Row],[Date Paiement Effectif]]))</f>
        <v/>
      </c>
      <c r="J622" s="9">
        <f>++IF(Tableau1[[#This Row],[Fournisseur]]="","",IF(Tableau1[[#This Row],[Date Paiement Effectif]]="","Non encore payée",IF(I622&lt;0,"Attention, paiement hors délais","OK RAS")))</f>
        <v/>
      </c>
      <c r="K622" s="31" t="n"/>
      <c r="L622" s="31" t="n"/>
      <c r="M622" s="31" t="n"/>
    </row>
    <row r="623" ht="14.25" customHeight="1">
      <c r="B623" s="78" t="n"/>
      <c r="D623" s="77" t="n"/>
      <c r="E623" s="46" t="n"/>
      <c r="F623" s="67" t="n"/>
      <c r="G623" s="2">
        <f>+IF(Tableau1[[#This Row],[Fournisseur]]="","",IFERROR(VLOOKUP(Tableau1[[#This Row],[Fournisseur]],SuiviFrs,2,FALSE),"Vérifier la syntaxe : Fournisseur introuvable au niveau du suivi des conventions"))</f>
        <v/>
      </c>
      <c r="H623" s="7">
        <f>++IF(Tableau1[[#This Row],[Fournisseur]]="","",C623+G623-1)</f>
        <v/>
      </c>
      <c r="I623" s="8">
        <f>++IF(Tableau1[[#This Row],[Fournisseur]]="","",IF(H623-Tableau1[[#This Row],[Date Paiement Effectif]]&gt;0," ",H623-Tableau1[[#This Row],[Date Paiement Effectif]]))</f>
        <v/>
      </c>
      <c r="J623" s="9">
        <f>++IF(Tableau1[[#This Row],[Fournisseur]]="","",IF(Tableau1[[#This Row],[Date Paiement Effectif]]="","Non encore payée",IF(I623&lt;0,"Attention, paiement hors délais","OK RAS")))</f>
        <v/>
      </c>
      <c r="K623" s="31" t="n"/>
      <c r="L623" s="31" t="n"/>
      <c r="M623" s="31" t="n"/>
    </row>
    <row r="624" ht="14.25" customHeight="1">
      <c r="B624" s="78" t="n"/>
      <c r="D624" s="77" t="n"/>
      <c r="E624" s="46" t="n"/>
      <c r="F624" s="67" t="n"/>
      <c r="G624" s="2">
        <f>+IF(Tableau1[[#This Row],[Fournisseur]]="","",IFERROR(VLOOKUP(Tableau1[[#This Row],[Fournisseur]],SuiviFrs,2,FALSE),"Vérifier la syntaxe : Fournisseur introuvable au niveau du suivi des conventions"))</f>
        <v/>
      </c>
      <c r="H624" s="7">
        <f>++IF(Tableau1[[#This Row],[Fournisseur]]="","",C624+G624-1)</f>
        <v/>
      </c>
      <c r="I624" s="8">
        <f>++IF(Tableau1[[#This Row],[Fournisseur]]="","",IF(H624-Tableau1[[#This Row],[Date Paiement Effectif]]&gt;0," ",H624-Tableau1[[#This Row],[Date Paiement Effectif]]))</f>
        <v/>
      </c>
      <c r="J624" s="9">
        <f>++IF(Tableau1[[#This Row],[Fournisseur]]="","",IF(Tableau1[[#This Row],[Date Paiement Effectif]]="","Non encore payée",IF(I624&lt;0,"Attention, paiement hors délais","OK RAS")))</f>
        <v/>
      </c>
      <c r="K624" s="31" t="n"/>
      <c r="L624" s="31" t="n"/>
      <c r="M624" s="31" t="n"/>
    </row>
    <row r="625" ht="14.25" customHeight="1">
      <c r="B625" s="78" t="n"/>
      <c r="D625" s="77" t="n"/>
      <c r="E625" s="46" t="n"/>
      <c r="F625" s="67" t="n"/>
      <c r="G625" s="2">
        <f>+IF(Tableau1[[#This Row],[Fournisseur]]="","",IFERROR(VLOOKUP(Tableau1[[#This Row],[Fournisseur]],SuiviFrs,2,FALSE),"Vérifier la syntaxe : Fournisseur introuvable au niveau du suivi des conventions"))</f>
        <v/>
      </c>
      <c r="H625" s="7">
        <f>++IF(Tableau1[[#This Row],[Fournisseur]]="","",C625+G625-1)</f>
        <v/>
      </c>
      <c r="I625" s="8">
        <f>++IF(Tableau1[[#This Row],[Fournisseur]]="","",IF(H625-Tableau1[[#This Row],[Date Paiement Effectif]]&gt;0," ",H625-Tableau1[[#This Row],[Date Paiement Effectif]]))</f>
        <v/>
      </c>
      <c r="J625" s="9">
        <f>++IF(Tableau1[[#This Row],[Fournisseur]]="","",IF(Tableau1[[#This Row],[Date Paiement Effectif]]="","Non encore payée",IF(I625&lt;0,"Attention, paiement hors délais","OK RAS")))</f>
        <v/>
      </c>
      <c r="K625" s="31" t="n"/>
      <c r="L625" s="31" t="n"/>
      <c r="M625" s="31" t="n"/>
    </row>
    <row r="626" ht="14.25" customHeight="1">
      <c r="B626" s="78" t="n"/>
      <c r="D626" s="77" t="n"/>
      <c r="E626" s="46" t="n"/>
      <c r="F626" s="67" t="n"/>
      <c r="G626" s="2">
        <f>+IF(Tableau1[[#This Row],[Fournisseur]]="","",IFERROR(VLOOKUP(Tableau1[[#This Row],[Fournisseur]],SuiviFrs,2,FALSE),"Vérifier la syntaxe : Fournisseur introuvable au niveau du suivi des conventions"))</f>
        <v/>
      </c>
      <c r="H626" s="7">
        <f>++IF(Tableau1[[#This Row],[Fournisseur]]="","",C626+G626-1)</f>
        <v/>
      </c>
      <c r="I626" s="8">
        <f>++IF(Tableau1[[#This Row],[Fournisseur]]="","",IF(H626-Tableau1[[#This Row],[Date Paiement Effectif]]&gt;0," ",H626-Tableau1[[#This Row],[Date Paiement Effectif]]))</f>
        <v/>
      </c>
      <c r="J626" s="9">
        <f>++IF(Tableau1[[#This Row],[Fournisseur]]="","",IF(Tableau1[[#This Row],[Date Paiement Effectif]]="","Non encore payée",IF(I626&lt;0,"Attention, paiement hors délais","OK RAS")))</f>
        <v/>
      </c>
      <c r="K626" s="31" t="n"/>
      <c r="L626" s="31" t="n"/>
      <c r="M626" s="31" t="n"/>
    </row>
    <row r="627" ht="14.25" customHeight="1">
      <c r="B627" s="78" t="n"/>
      <c r="D627" s="77" t="n"/>
      <c r="E627" s="46" t="n"/>
      <c r="F627" s="67" t="n"/>
      <c r="G627" s="2">
        <f>+IF(Tableau1[[#This Row],[Fournisseur]]="","",IFERROR(VLOOKUP(Tableau1[[#This Row],[Fournisseur]],SuiviFrs,2,FALSE),"Vérifier la syntaxe : Fournisseur introuvable au niveau du suivi des conventions"))</f>
        <v/>
      </c>
      <c r="H627" s="7">
        <f>++IF(Tableau1[[#This Row],[Fournisseur]]="","",C627+G627-1)</f>
        <v/>
      </c>
      <c r="I627" s="8">
        <f>++IF(Tableau1[[#This Row],[Fournisseur]]="","",IF(H627-Tableau1[[#This Row],[Date Paiement Effectif]]&gt;0," ",H627-Tableau1[[#This Row],[Date Paiement Effectif]]))</f>
        <v/>
      </c>
      <c r="J627" s="9">
        <f>++IF(Tableau1[[#This Row],[Fournisseur]]="","",IF(Tableau1[[#This Row],[Date Paiement Effectif]]="","Non encore payée",IF(I627&lt;0,"Attention, paiement hors délais","OK RAS")))</f>
        <v/>
      </c>
      <c r="K627" s="31" t="n"/>
      <c r="L627" s="32" t="n"/>
      <c r="M627" s="32" t="n"/>
    </row>
    <row r="628" ht="14.25" customHeight="1">
      <c r="B628" s="78" t="n"/>
      <c r="D628" s="77" t="n"/>
      <c r="E628" s="46" t="n"/>
      <c r="F628" s="67" t="n"/>
      <c r="G628" s="91">
        <f>+IF(Tableau1[[#This Row],[Fournisseur]]="","",IFERROR(VLOOKUP(Tableau1[[#This Row],[Fournisseur]],SuiviFrs,2,FALSE),"Vérifier la syntaxe : Fournisseur introuvable au niveau du suivi des conventions"))</f>
        <v/>
      </c>
      <c r="H628" s="72">
        <f>++IF(Tableau1[[#This Row],[Fournisseur]]="","",C628+G628-1)</f>
        <v/>
      </c>
      <c r="I628" s="73">
        <f>++IF(Tableau1[[#This Row],[Fournisseur]]="","",IF(H628-Tableau1[[#This Row],[Date Paiement Effectif]]&gt;0," ",H628-Tableau1[[#This Row],[Date Paiement Effectif]]))</f>
        <v/>
      </c>
      <c r="J628" s="92">
        <f>++IF(Tableau1[[#This Row],[Fournisseur]]="","",IF(Tableau1[[#This Row],[Date Paiement Effectif]]="","Non encore payée",IF(I628&lt;0,"Attention, paiement hors délais","OK RAS")))</f>
        <v/>
      </c>
      <c r="K628" s="31" t="n"/>
      <c r="L628" s="31" t="n"/>
      <c r="M628" s="74" t="n"/>
    </row>
    <row r="629" ht="14.25" customHeight="1">
      <c r="B629" s="78" t="n"/>
      <c r="D629" s="77" t="n"/>
      <c r="E629" s="46" t="n"/>
      <c r="F629" s="67" t="n"/>
      <c r="G629" s="91">
        <f>+IF(Tableau1[[#This Row],[Fournisseur]]="","",IFERROR(VLOOKUP(Tableau1[[#This Row],[Fournisseur]],SuiviFrs,2,FALSE),"Vérifier la syntaxe : Fournisseur introuvable au niveau du suivi des conventions"))</f>
        <v/>
      </c>
      <c r="H629" s="72">
        <f>++IF(Tableau1[[#This Row],[Fournisseur]]="","",C629+G629-1)</f>
        <v/>
      </c>
      <c r="I629" s="73">
        <f>++IF(Tableau1[[#This Row],[Fournisseur]]="","",IF(H629-Tableau1[[#This Row],[Date Paiement Effectif]]&gt;0," ",H629-Tableau1[[#This Row],[Date Paiement Effectif]]))</f>
        <v/>
      </c>
      <c r="J629" s="92">
        <f>++IF(Tableau1[[#This Row],[Fournisseur]]="","",IF(Tableau1[[#This Row],[Date Paiement Effectif]]="","Non encore payée",IF(I629&lt;0,"Attention, paiement hors délais","OK RAS")))</f>
        <v/>
      </c>
      <c r="K629" s="31" t="n"/>
      <c r="L629" s="31" t="n"/>
      <c r="M629" s="74" t="n"/>
    </row>
    <row r="630" ht="14.25" customHeight="1">
      <c r="B630" s="78" t="n"/>
      <c r="D630" s="77" t="n"/>
      <c r="E630" s="46" t="n"/>
      <c r="F630" s="67" t="n"/>
      <c r="G630" s="91">
        <f>+IF(Tableau1[[#This Row],[Fournisseur]]="","",IFERROR(VLOOKUP(Tableau1[[#This Row],[Fournisseur]],SuiviFrs,2,FALSE),"Vérifier la syntaxe : Fournisseur introuvable au niveau du suivi des conventions"))</f>
        <v/>
      </c>
      <c r="H630" s="72">
        <f>++IF(Tableau1[[#This Row],[Fournisseur]]="","",C630+G630-1)</f>
        <v/>
      </c>
      <c r="I630" s="73">
        <f>++IF(Tableau1[[#This Row],[Fournisseur]]="","",IF(H630-Tableau1[[#This Row],[Date Paiement Effectif]]&gt;0," ",H630-Tableau1[[#This Row],[Date Paiement Effectif]]))</f>
        <v/>
      </c>
      <c r="J630" s="92">
        <f>++IF(Tableau1[[#This Row],[Fournisseur]]="","",IF(Tableau1[[#This Row],[Date Paiement Effectif]]="","Non encore payée",IF(I630&lt;0,"Attention, paiement hors délais","OK RAS")))</f>
        <v/>
      </c>
      <c r="K630" s="31" t="n"/>
      <c r="L630" s="31" t="n"/>
      <c r="M630" s="74" t="n"/>
    </row>
    <row r="631" ht="14.25" customHeight="1">
      <c r="B631" s="78" t="n"/>
      <c r="D631" s="77" t="n"/>
      <c r="E631" s="46" t="n"/>
      <c r="F631" s="67" t="n"/>
      <c r="G631" s="91">
        <f>+IF(Tableau1[[#This Row],[Fournisseur]]="","",IFERROR(VLOOKUP(Tableau1[[#This Row],[Fournisseur]],SuiviFrs,2,FALSE),"Vérifier la syntaxe : Fournisseur introuvable au niveau du suivi des conventions"))</f>
        <v/>
      </c>
      <c r="H631" s="72">
        <f>++IF(Tableau1[[#This Row],[Fournisseur]]="","",C631+G631-1)</f>
        <v/>
      </c>
      <c r="I631" s="73">
        <f>++IF(Tableau1[[#This Row],[Fournisseur]]="","",IF(H631-Tableau1[[#This Row],[Date Paiement Effectif]]&gt;0," ",H631-Tableau1[[#This Row],[Date Paiement Effectif]]))</f>
        <v/>
      </c>
      <c r="J631" s="92">
        <f>++IF(Tableau1[[#This Row],[Fournisseur]]="","",IF(Tableau1[[#This Row],[Date Paiement Effectif]]="","Non encore payée",IF(I631&lt;0,"Attention, paiement hors délais","OK RAS")))</f>
        <v/>
      </c>
      <c r="K631" s="31" t="n"/>
      <c r="L631" s="31" t="n"/>
      <c r="M631" s="74" t="n"/>
    </row>
    <row r="632" ht="14.25" customHeight="1">
      <c r="B632" s="79" t="n"/>
      <c r="D632" s="77" t="n"/>
      <c r="E632" s="46" t="n"/>
      <c r="F632" s="69" t="n"/>
      <c r="G632" s="91">
        <f>+IF(Tableau1[[#This Row],[Fournisseur]]="","",IFERROR(VLOOKUP(Tableau1[[#This Row],[Fournisseur]],SuiviFrs,2,FALSE),"Vérifier la syntaxe : Fournisseur introuvable au niveau du suivi des conventions"))</f>
        <v/>
      </c>
      <c r="H632" s="72">
        <f>++IF(Tableau1[[#This Row],[Fournisseur]]="","",C632+G632-1)</f>
        <v/>
      </c>
      <c r="I632" s="73">
        <f>++IF(Tableau1[[#This Row],[Fournisseur]]="","",IF(H632-Tableau1[[#This Row],[Date Paiement Effectif]]&gt;0," ",H632-Tableau1[[#This Row],[Date Paiement Effectif]]))</f>
        <v/>
      </c>
      <c r="J632" s="92">
        <f>++IF(Tableau1[[#This Row],[Fournisseur]]="","",IF(Tableau1[[#This Row],[Date Paiement Effectif]]="","Non encore payée",IF(I632&lt;0,"Attention, paiement hors délais","OK RAS")))</f>
        <v/>
      </c>
      <c r="K632" s="32" t="n"/>
      <c r="L632" s="32" t="n"/>
      <c r="M632" s="74" t="n"/>
    </row>
    <row r="633" ht="14.25" customHeight="1">
      <c r="B633" s="80" t="n"/>
      <c r="D633" s="77" t="n"/>
      <c r="E633" s="46" t="n"/>
      <c r="F633" s="71" t="n"/>
      <c r="G633" s="91">
        <f>+IF(Tableau1[[#This Row],[Fournisseur]]="","",IFERROR(VLOOKUP(Tableau1[[#This Row],[Fournisseur]],SuiviFrs,2,FALSE),"Vérifier la syntaxe : Fournisseur introuvable au niveau du suivi des conventions"))</f>
        <v/>
      </c>
      <c r="H633" s="72">
        <f>++IF(Tableau1[[#This Row],[Fournisseur]]="","",C633+G633-1)</f>
        <v/>
      </c>
      <c r="I633" s="73">
        <f>++IF(Tableau1[[#This Row],[Fournisseur]]="","",IF(H633-Tableau1[[#This Row],[Date Paiement Effectif]]&gt;0," ",H633-Tableau1[[#This Row],[Date Paiement Effectif]]))</f>
        <v/>
      </c>
      <c r="J633" s="92">
        <f>++IF(Tableau1[[#This Row],[Fournisseur]]="","",IF(Tableau1[[#This Row],[Date Paiement Effectif]]="","Non encore payée",IF(I633&lt;0,"Attention, paiement hors délais","OK RAS")))</f>
        <v/>
      </c>
      <c r="K633" s="74" t="n"/>
      <c r="L633" s="74" t="n"/>
      <c r="M633" s="74" t="n"/>
    </row>
    <row r="634" ht="14.25" customHeight="1">
      <c r="B634" s="80" t="n"/>
      <c r="D634" s="77" t="n"/>
      <c r="E634" s="46" t="n"/>
      <c r="F634" s="71" t="n"/>
      <c r="G634" s="91">
        <f>+IF(Tableau1[[#This Row],[Fournisseur]]="","",IFERROR(VLOOKUP(Tableau1[[#This Row],[Fournisseur]],SuiviFrs,2,FALSE),"Vérifier la syntaxe : Fournisseur introuvable au niveau du suivi des conventions"))</f>
        <v/>
      </c>
      <c r="H634" s="72">
        <f>++IF(Tableau1[[#This Row],[Fournisseur]]="","",C634+G634-1)</f>
        <v/>
      </c>
      <c r="I634" s="73">
        <f>++IF(Tableau1[[#This Row],[Fournisseur]]="","",IF(H634-Tableau1[[#This Row],[Date Paiement Effectif]]&gt;0," ",H634-Tableau1[[#This Row],[Date Paiement Effectif]]))</f>
        <v/>
      </c>
      <c r="J634" s="92">
        <f>++IF(Tableau1[[#This Row],[Fournisseur]]="","",IF(Tableau1[[#This Row],[Date Paiement Effectif]]="","Non encore payée",IF(I634&lt;0,"Attention, paiement hors délais","OK RAS")))</f>
        <v/>
      </c>
      <c r="K634" s="74" t="n"/>
      <c r="L634" s="74" t="n"/>
      <c r="M634" s="74" t="n"/>
    </row>
    <row r="635" ht="14.25" customHeight="1">
      <c r="B635" s="80" t="n"/>
      <c r="D635" s="77" t="n"/>
      <c r="E635" s="46" t="n"/>
      <c r="F635" s="71" t="n"/>
      <c r="G635" s="91">
        <f>+IF(Tableau1[[#This Row],[Fournisseur]]="","",IFERROR(VLOOKUP(Tableau1[[#This Row],[Fournisseur]],SuiviFrs,2,FALSE),"Vérifier la syntaxe : Fournisseur introuvable au niveau du suivi des conventions"))</f>
        <v/>
      </c>
      <c r="H635" s="72">
        <f>++IF(Tableau1[[#This Row],[Fournisseur]]="","",C635+G635-1)</f>
        <v/>
      </c>
      <c r="I635" s="73">
        <f>++IF(Tableau1[[#This Row],[Fournisseur]]="","",IF(H635-Tableau1[[#This Row],[Date Paiement Effectif]]&gt;0," ",H635-Tableau1[[#This Row],[Date Paiement Effectif]]))</f>
        <v/>
      </c>
      <c r="J635" s="92">
        <f>++IF(Tableau1[[#This Row],[Fournisseur]]="","",IF(Tableau1[[#This Row],[Date Paiement Effectif]]="","Non encore payée",IF(I635&lt;0,"Attention, paiement hors délais","OK RAS")))</f>
        <v/>
      </c>
      <c r="K635" s="74" t="n"/>
      <c r="L635" s="74" t="n"/>
      <c r="M635" s="74" t="n"/>
    </row>
    <row r="636" ht="14.25" customHeight="1">
      <c r="B636" s="80" t="n"/>
      <c r="D636" s="77" t="n"/>
      <c r="E636" s="46" t="n"/>
      <c r="F636" s="71" t="n"/>
      <c r="G636" s="91">
        <f>+IF(Tableau1[[#This Row],[Fournisseur]]="","",IFERROR(VLOOKUP(Tableau1[[#This Row],[Fournisseur]],SuiviFrs,2,FALSE),"Vérifier la syntaxe : Fournisseur introuvable au niveau du suivi des conventions"))</f>
        <v/>
      </c>
      <c r="H636" s="72">
        <f>++IF(Tableau1[[#This Row],[Fournisseur]]="","",C636+G636-1)</f>
        <v/>
      </c>
      <c r="I636" s="73">
        <f>++IF(Tableau1[[#This Row],[Fournisseur]]="","",IF(H636-Tableau1[[#This Row],[Date Paiement Effectif]]&gt;0," ",H636-Tableau1[[#This Row],[Date Paiement Effectif]]))</f>
        <v/>
      </c>
      <c r="J636" s="92">
        <f>++IF(Tableau1[[#This Row],[Fournisseur]]="","",IF(Tableau1[[#This Row],[Date Paiement Effectif]]="","Non encore payée",IF(I636&lt;0,"Attention, paiement hors délais","OK RAS")))</f>
        <v/>
      </c>
      <c r="K636" s="74" t="n"/>
      <c r="L636" s="74" t="n"/>
      <c r="M636" s="74" t="n"/>
    </row>
    <row r="637" ht="14.25" customHeight="1">
      <c r="B637" s="80" t="n"/>
      <c r="D637" s="77" t="n"/>
      <c r="E637" s="46" t="n"/>
      <c r="F637" s="71" t="n"/>
      <c r="G637" s="91">
        <f>+IF(Tableau1[[#This Row],[Fournisseur]]="","",IFERROR(VLOOKUP(Tableau1[[#This Row],[Fournisseur]],SuiviFrs,2,FALSE),"Vérifier la syntaxe : Fournisseur introuvable au niveau du suivi des conventions"))</f>
        <v/>
      </c>
      <c r="H637" s="72">
        <f>++IF(Tableau1[[#This Row],[Fournisseur]]="","",C637+G637-1)</f>
        <v/>
      </c>
      <c r="I637" s="73">
        <f>++IF(Tableau1[[#This Row],[Fournisseur]]="","",IF(H637-Tableau1[[#This Row],[Date Paiement Effectif]]&gt;0," ",H637-Tableau1[[#This Row],[Date Paiement Effectif]]))</f>
        <v/>
      </c>
      <c r="J637" s="92">
        <f>++IF(Tableau1[[#This Row],[Fournisseur]]="","",IF(Tableau1[[#This Row],[Date Paiement Effectif]]="","Non encore payée",IF(I637&lt;0,"Attention, paiement hors délais","OK RAS")))</f>
        <v/>
      </c>
      <c r="K637" s="74" t="n"/>
      <c r="L637" s="74" t="n"/>
      <c r="M637" s="74" t="n"/>
    </row>
    <row r="638" ht="14.25" customHeight="1">
      <c r="B638" s="80" t="n"/>
      <c r="D638" s="77" t="n"/>
      <c r="E638" s="46" t="n"/>
      <c r="F638" s="71" t="n"/>
      <c r="G638" s="91">
        <f>+IF(Tableau1[[#This Row],[Fournisseur]]="","",IFERROR(VLOOKUP(Tableau1[[#This Row],[Fournisseur]],SuiviFrs,2,FALSE),"Vérifier la syntaxe : Fournisseur introuvable au niveau du suivi des conventions"))</f>
        <v/>
      </c>
      <c r="H638" s="72">
        <f>++IF(Tableau1[[#This Row],[Fournisseur]]="","",C638+G638-1)</f>
        <v/>
      </c>
      <c r="I638" s="73">
        <f>++IF(Tableau1[[#This Row],[Fournisseur]]="","",IF(H638-Tableau1[[#This Row],[Date Paiement Effectif]]&gt;0," ",H638-Tableau1[[#This Row],[Date Paiement Effectif]]))</f>
        <v/>
      </c>
      <c r="J638" s="92">
        <f>++IF(Tableau1[[#This Row],[Fournisseur]]="","",IF(Tableau1[[#This Row],[Date Paiement Effectif]]="","Non encore payée",IF(I638&lt;0,"Attention, paiement hors délais","OK RAS")))</f>
        <v/>
      </c>
      <c r="K638" s="74" t="n"/>
      <c r="L638" s="74" t="n"/>
      <c r="M638" s="74" t="n"/>
    </row>
    <row r="639" ht="14.25" customHeight="1">
      <c r="B639" s="80" t="n"/>
      <c r="D639" s="77" t="n"/>
      <c r="E639" s="46" t="n"/>
      <c r="F639" s="71" t="n"/>
      <c r="G639" s="91">
        <f>+IF(Tableau1[[#This Row],[Fournisseur]]="","",IFERROR(VLOOKUP(Tableau1[[#This Row],[Fournisseur]],SuiviFrs,2,FALSE),"Vérifier la syntaxe : Fournisseur introuvable au niveau du suivi des conventions"))</f>
        <v/>
      </c>
      <c r="H639" s="72">
        <f>++IF(Tableau1[[#This Row],[Fournisseur]]="","",C639+G639-1)</f>
        <v/>
      </c>
      <c r="I639" s="73">
        <f>++IF(Tableau1[[#This Row],[Fournisseur]]="","",IF(H639-Tableau1[[#This Row],[Date Paiement Effectif]]&gt;0," ",H639-Tableau1[[#This Row],[Date Paiement Effectif]]))</f>
        <v/>
      </c>
      <c r="J639" s="92">
        <f>++IF(Tableau1[[#This Row],[Fournisseur]]="","",IF(Tableau1[[#This Row],[Date Paiement Effectif]]="","Non encore payée",IF(I639&lt;0,"Attention, paiement hors délais","OK RAS")))</f>
        <v/>
      </c>
      <c r="K639" s="74" t="n"/>
      <c r="L639" s="74" t="n"/>
      <c r="M639" s="74" t="n"/>
    </row>
    <row r="640" ht="14.25" customHeight="1">
      <c r="B640" s="80" t="n"/>
      <c r="D640" s="77" t="n"/>
      <c r="E640" s="46" t="n"/>
      <c r="F640" s="71" t="n"/>
      <c r="G640" s="91">
        <f>+IF(Tableau1[[#This Row],[Fournisseur]]="","",IFERROR(VLOOKUP(Tableau1[[#This Row],[Fournisseur]],SuiviFrs,2,FALSE),"Vérifier la syntaxe : Fournisseur introuvable au niveau du suivi des conventions"))</f>
        <v/>
      </c>
      <c r="H640" s="72">
        <f>++IF(Tableau1[[#This Row],[Fournisseur]]="","",C640+G640-1)</f>
        <v/>
      </c>
      <c r="I640" s="73">
        <f>++IF(Tableau1[[#This Row],[Fournisseur]]="","",IF(H640-Tableau1[[#This Row],[Date Paiement Effectif]]&gt;0," ",H640-Tableau1[[#This Row],[Date Paiement Effectif]]))</f>
        <v/>
      </c>
      <c r="J640" s="92">
        <f>++IF(Tableau1[[#This Row],[Fournisseur]]="","",IF(Tableau1[[#This Row],[Date Paiement Effectif]]="","Non encore payée",IF(I640&lt;0,"Attention, paiement hors délais","OK RAS")))</f>
        <v/>
      </c>
      <c r="K640" s="74" t="n"/>
      <c r="L640" s="74" t="n"/>
      <c r="M640" s="74" t="n"/>
    </row>
    <row r="641" ht="14.25" customHeight="1">
      <c r="B641" s="80" t="n"/>
      <c r="D641" s="77" t="n"/>
      <c r="E641" s="46" t="n"/>
      <c r="F641" s="71" t="n"/>
      <c r="G641" s="91">
        <f>+IF(Tableau1[[#This Row],[Fournisseur]]="","",IFERROR(VLOOKUP(Tableau1[[#This Row],[Fournisseur]],SuiviFrs,2,FALSE),"Vérifier la syntaxe : Fournisseur introuvable au niveau du suivi des conventions"))</f>
        <v/>
      </c>
      <c r="H641" s="72">
        <f>++IF(Tableau1[[#This Row],[Fournisseur]]="","",C641+G641-1)</f>
        <v/>
      </c>
      <c r="I641" s="73">
        <f>++IF(Tableau1[[#This Row],[Fournisseur]]="","",IF(H641-Tableau1[[#This Row],[Date Paiement Effectif]]&gt;0," ",H641-Tableau1[[#This Row],[Date Paiement Effectif]]))</f>
        <v/>
      </c>
      <c r="J641" s="92">
        <f>++IF(Tableau1[[#This Row],[Fournisseur]]="","",IF(Tableau1[[#This Row],[Date Paiement Effectif]]="","Non encore payée",IF(I641&lt;0,"Attention, paiement hors délais","OK RAS")))</f>
        <v/>
      </c>
      <c r="K641" s="74" t="n"/>
      <c r="L641" s="74" t="n"/>
      <c r="M641" s="74" t="n"/>
    </row>
    <row r="642" ht="14.25" customHeight="1">
      <c r="B642" s="80" t="n"/>
      <c r="D642" s="77" t="n"/>
      <c r="E642" s="46" t="n"/>
      <c r="F642" s="71" t="n"/>
      <c r="G642" s="91">
        <f>+IF(Tableau1[[#This Row],[Fournisseur]]="","",IFERROR(VLOOKUP(Tableau1[[#This Row],[Fournisseur]],SuiviFrs,2,FALSE),"Vérifier la syntaxe : Fournisseur introuvable au niveau du suivi des conventions"))</f>
        <v/>
      </c>
      <c r="H642" s="72">
        <f>++IF(Tableau1[[#This Row],[Fournisseur]]="","",C642+G642-1)</f>
        <v/>
      </c>
      <c r="I642" s="73">
        <f>++IF(Tableau1[[#This Row],[Fournisseur]]="","",IF(H642-Tableau1[[#This Row],[Date Paiement Effectif]]&gt;0," ",H642-Tableau1[[#This Row],[Date Paiement Effectif]]))</f>
        <v/>
      </c>
      <c r="J642" s="92">
        <f>++IF(Tableau1[[#This Row],[Fournisseur]]="","",IF(Tableau1[[#This Row],[Date Paiement Effectif]]="","Non encore payée",IF(I642&lt;0,"Attention, paiement hors délais","OK RAS")))</f>
        <v/>
      </c>
      <c r="K642" s="74" t="n"/>
      <c r="L642" s="74" t="n"/>
      <c r="M642" s="74" t="n"/>
    </row>
    <row r="643" ht="14.25" customHeight="1">
      <c r="B643" s="80" t="n"/>
      <c r="D643" s="77" t="n"/>
      <c r="E643" s="46" t="n"/>
      <c r="F643" s="71" t="n"/>
      <c r="G643" s="91">
        <f>+IF(Tableau1[[#This Row],[Fournisseur]]="","",IFERROR(VLOOKUP(Tableau1[[#This Row],[Fournisseur]],SuiviFrs,2,FALSE),"Vérifier la syntaxe : Fournisseur introuvable au niveau du suivi des conventions"))</f>
        <v/>
      </c>
      <c r="H643" s="72">
        <f>++IF(Tableau1[[#This Row],[Fournisseur]]="","",C643+G643-1)</f>
        <v/>
      </c>
      <c r="I643" s="73">
        <f>++IF(Tableau1[[#This Row],[Fournisseur]]="","",IF(H643-Tableau1[[#This Row],[Date Paiement Effectif]]&gt;0," ",H643-Tableau1[[#This Row],[Date Paiement Effectif]]))</f>
        <v/>
      </c>
      <c r="J643" s="92">
        <f>++IF(Tableau1[[#This Row],[Fournisseur]]="","",IF(Tableau1[[#This Row],[Date Paiement Effectif]]="","Non encore payée",IF(I643&lt;0,"Attention, paiement hors délais","OK RAS")))</f>
        <v/>
      </c>
      <c r="K643" s="74" t="n"/>
      <c r="L643" s="74" t="n"/>
      <c r="M643" s="74" t="n"/>
    </row>
    <row r="644" ht="14.25" customHeight="1">
      <c r="B644" s="80" t="n"/>
      <c r="D644" s="77" t="n"/>
      <c r="E644" s="46" t="n"/>
      <c r="F644" s="71" t="n"/>
      <c r="G644" s="91">
        <f>+IF(Tableau1[[#This Row],[Fournisseur]]="","",IFERROR(VLOOKUP(Tableau1[[#This Row],[Fournisseur]],SuiviFrs,2,FALSE),"Vérifier la syntaxe : Fournisseur introuvable au niveau du suivi des conventions"))</f>
        <v/>
      </c>
      <c r="H644" s="72">
        <f>++IF(Tableau1[[#This Row],[Fournisseur]]="","",C644+G644-1)</f>
        <v/>
      </c>
      <c r="I644" s="73">
        <f>++IF(Tableau1[[#This Row],[Fournisseur]]="","",IF(H644-Tableau1[[#This Row],[Date Paiement Effectif]]&gt;0," ",H644-Tableau1[[#This Row],[Date Paiement Effectif]]))</f>
        <v/>
      </c>
      <c r="J644" s="92">
        <f>++IF(Tableau1[[#This Row],[Fournisseur]]="","",IF(Tableau1[[#This Row],[Date Paiement Effectif]]="","Non encore payée",IF(I644&lt;0,"Attention, paiement hors délais","OK RAS")))</f>
        <v/>
      </c>
      <c r="K644" s="74" t="n"/>
      <c r="L644" s="74" t="n"/>
      <c r="M644" s="74" t="n"/>
    </row>
    <row r="645" ht="14.25" customHeight="1">
      <c r="B645" s="80" t="n"/>
      <c r="D645" s="77" t="n"/>
      <c r="E645" s="46" t="n"/>
      <c r="F645" s="71" t="n"/>
      <c r="G645" s="91">
        <f>+IF(Tableau1[[#This Row],[Fournisseur]]="","",IFERROR(VLOOKUP(Tableau1[[#This Row],[Fournisseur]],SuiviFrs,2,FALSE),"Vérifier la syntaxe : Fournisseur introuvable au niveau du suivi des conventions"))</f>
        <v/>
      </c>
      <c r="H645" s="72">
        <f>++IF(Tableau1[[#This Row],[Fournisseur]]="","",C645+G645-1)</f>
        <v/>
      </c>
      <c r="I645" s="73">
        <f>++IF(Tableau1[[#This Row],[Fournisseur]]="","",IF(H645-Tableau1[[#This Row],[Date Paiement Effectif]]&gt;0," ",H645-Tableau1[[#This Row],[Date Paiement Effectif]]))</f>
        <v/>
      </c>
      <c r="J645" s="92">
        <f>++IF(Tableau1[[#This Row],[Fournisseur]]="","",IF(Tableau1[[#This Row],[Date Paiement Effectif]]="","Non encore payée",IF(I645&lt;0,"Attention, paiement hors délais","OK RAS")))</f>
        <v/>
      </c>
      <c r="K645" s="74" t="n"/>
      <c r="L645" s="74" t="n"/>
      <c r="M645" s="74" t="n"/>
    </row>
    <row r="646" ht="14.25" customHeight="1">
      <c r="B646" s="80" t="n"/>
      <c r="D646" s="77" t="n"/>
      <c r="E646" s="46" t="n"/>
      <c r="F646" s="71" t="n"/>
      <c r="G646" s="91">
        <f>+IF(Tableau1[[#This Row],[Fournisseur]]="","",IFERROR(VLOOKUP(Tableau1[[#This Row],[Fournisseur]],SuiviFrs,2,FALSE),"Vérifier la syntaxe : Fournisseur introuvable au niveau du suivi des conventions"))</f>
        <v/>
      </c>
      <c r="H646" s="72">
        <f>++IF(Tableau1[[#This Row],[Fournisseur]]="","",C646+G646-1)</f>
        <v/>
      </c>
      <c r="I646" s="73">
        <f>++IF(Tableau1[[#This Row],[Fournisseur]]="","",IF(H646-Tableau1[[#This Row],[Date Paiement Effectif]]&gt;0," ",H646-Tableau1[[#This Row],[Date Paiement Effectif]]))</f>
        <v/>
      </c>
      <c r="J646" s="92">
        <f>++IF(Tableau1[[#This Row],[Fournisseur]]="","",IF(Tableau1[[#This Row],[Date Paiement Effectif]]="","Non encore payée",IF(I646&lt;0,"Attention, paiement hors délais","OK RAS")))</f>
        <v/>
      </c>
      <c r="K646" s="74" t="n"/>
      <c r="L646" s="74" t="n"/>
      <c r="M646" s="74" t="n"/>
    </row>
    <row r="647" ht="14.25" customHeight="1">
      <c r="B647" s="80" t="n"/>
      <c r="D647" s="77" t="n"/>
      <c r="E647" s="46" t="n"/>
      <c r="F647" s="71" t="n"/>
      <c r="G647" s="91">
        <f>+IF(Tableau1[[#This Row],[Fournisseur]]="","",IFERROR(VLOOKUP(Tableau1[[#This Row],[Fournisseur]],SuiviFrs,2,FALSE),"Vérifier la syntaxe : Fournisseur introuvable au niveau du suivi des conventions"))</f>
        <v/>
      </c>
      <c r="H647" s="72">
        <f>++IF(Tableau1[[#This Row],[Fournisseur]]="","",C647+G647-1)</f>
        <v/>
      </c>
      <c r="I647" s="73">
        <f>++IF(Tableau1[[#This Row],[Fournisseur]]="","",IF(H647-Tableau1[[#This Row],[Date Paiement Effectif]]&gt;0," ",H647-Tableau1[[#This Row],[Date Paiement Effectif]]))</f>
        <v/>
      </c>
      <c r="J647" s="92">
        <f>++IF(Tableau1[[#This Row],[Fournisseur]]="","",IF(Tableau1[[#This Row],[Date Paiement Effectif]]="","Non encore payée",IF(I647&lt;0,"Attention, paiement hors délais","OK RAS")))</f>
        <v/>
      </c>
      <c r="K647" s="74" t="n"/>
      <c r="L647" s="74" t="n"/>
      <c r="M647" s="74" t="n"/>
    </row>
    <row r="648" ht="14.25" customHeight="1">
      <c r="B648" s="80" t="n"/>
      <c r="D648" s="77" t="n"/>
      <c r="E648" s="46" t="n"/>
      <c r="F648" s="71" t="n"/>
      <c r="G648" s="91">
        <f>+IF(Tableau1[[#This Row],[Fournisseur]]="","",IFERROR(VLOOKUP(Tableau1[[#This Row],[Fournisseur]],SuiviFrs,2,FALSE),"Vérifier la syntaxe : Fournisseur introuvable au niveau du suivi des conventions"))</f>
        <v/>
      </c>
      <c r="H648" s="72">
        <f>++IF(Tableau1[[#This Row],[Fournisseur]]="","",C648+G648-1)</f>
        <v/>
      </c>
      <c r="I648" s="73">
        <f>++IF(Tableau1[[#This Row],[Fournisseur]]="","",IF(H648-Tableau1[[#This Row],[Date Paiement Effectif]]&gt;0," ",H648-Tableau1[[#This Row],[Date Paiement Effectif]]))</f>
        <v/>
      </c>
      <c r="J648" s="92">
        <f>++IF(Tableau1[[#This Row],[Fournisseur]]="","",IF(Tableau1[[#This Row],[Date Paiement Effectif]]="","Non encore payée",IF(I648&lt;0,"Attention, paiement hors délais","OK RAS")))</f>
        <v/>
      </c>
      <c r="K648" s="74" t="n"/>
      <c r="L648" s="74" t="n"/>
      <c r="M648" s="74" t="n"/>
    </row>
    <row r="649" ht="14.25" customHeight="1">
      <c r="B649" s="80" t="n"/>
      <c r="D649" s="77" t="n"/>
      <c r="E649" s="46" t="n"/>
      <c r="F649" s="71" t="n"/>
      <c r="G649" s="91">
        <f>+IF(Tableau1[[#This Row],[Fournisseur]]="","",IFERROR(VLOOKUP(Tableau1[[#This Row],[Fournisseur]],SuiviFrs,2,FALSE),"Vérifier la syntaxe : Fournisseur introuvable au niveau du suivi des conventions"))</f>
        <v/>
      </c>
      <c r="H649" s="72">
        <f>++IF(Tableau1[[#This Row],[Fournisseur]]="","",C649+G649-1)</f>
        <v/>
      </c>
      <c r="I649" s="73">
        <f>++IF(Tableau1[[#This Row],[Fournisseur]]="","",IF(H649-Tableau1[[#This Row],[Date Paiement Effectif]]&gt;0," ",H649-Tableau1[[#This Row],[Date Paiement Effectif]]))</f>
        <v/>
      </c>
      <c r="J649" s="92">
        <f>++IF(Tableau1[[#This Row],[Fournisseur]]="","",IF(Tableau1[[#This Row],[Date Paiement Effectif]]="","Non encore payée",IF(I649&lt;0,"Attention, paiement hors délais","OK RAS")))</f>
        <v/>
      </c>
      <c r="K649" s="74" t="n"/>
      <c r="L649" s="74" t="n"/>
      <c r="M649" s="74" t="n"/>
    </row>
    <row r="650" ht="14.25" customHeight="1">
      <c r="B650" s="80" t="n"/>
      <c r="D650" s="77" t="n"/>
      <c r="E650" s="46" t="n"/>
      <c r="F650" s="71" t="n"/>
      <c r="G650" s="91">
        <f>+IF(Tableau1[[#This Row],[Fournisseur]]="","",IFERROR(VLOOKUP(Tableau1[[#This Row],[Fournisseur]],SuiviFrs,2,FALSE),"Vérifier la syntaxe : Fournisseur introuvable au niveau du suivi des conventions"))</f>
        <v/>
      </c>
      <c r="H650" s="72">
        <f>++IF(Tableau1[[#This Row],[Fournisseur]]="","",C650+G650-1)</f>
        <v/>
      </c>
      <c r="I650" s="73">
        <f>++IF(Tableau1[[#This Row],[Fournisseur]]="","",IF(H650-Tableau1[[#This Row],[Date Paiement Effectif]]&gt;0," ",H650-Tableau1[[#This Row],[Date Paiement Effectif]]))</f>
        <v/>
      </c>
      <c r="J650" s="92">
        <f>++IF(Tableau1[[#This Row],[Fournisseur]]="","",IF(Tableau1[[#This Row],[Date Paiement Effectif]]="","Non encore payée",IF(I650&lt;0,"Attention, paiement hors délais","OK RAS")))</f>
        <v/>
      </c>
      <c r="K650" s="74" t="n"/>
      <c r="L650" s="74" t="n"/>
      <c r="M650" s="74" t="n"/>
    </row>
    <row r="651" ht="14.25" customHeight="1">
      <c r="B651" s="80" t="n"/>
      <c r="D651" s="77" t="n"/>
      <c r="E651" s="46" t="n"/>
      <c r="F651" s="71" t="n"/>
      <c r="G651" s="91">
        <f>+IF(Tableau1[[#This Row],[Fournisseur]]="","",IFERROR(VLOOKUP(Tableau1[[#This Row],[Fournisseur]],SuiviFrs,2,FALSE),"Vérifier la syntaxe : Fournisseur introuvable au niveau du suivi des conventions"))</f>
        <v/>
      </c>
      <c r="H651" s="72">
        <f>++IF(Tableau1[[#This Row],[Fournisseur]]="","",C651+G651-1)</f>
        <v/>
      </c>
      <c r="I651" s="73">
        <f>++IF(Tableau1[[#This Row],[Fournisseur]]="","",IF(H651-Tableau1[[#This Row],[Date Paiement Effectif]]&gt;0," ",H651-Tableau1[[#This Row],[Date Paiement Effectif]]))</f>
        <v/>
      </c>
      <c r="J651" s="92">
        <f>++IF(Tableau1[[#This Row],[Fournisseur]]="","",IF(Tableau1[[#This Row],[Date Paiement Effectif]]="","Non encore payée",IF(I651&lt;0,"Attention, paiement hors délais","OK RAS")))</f>
        <v/>
      </c>
      <c r="K651" s="74" t="n"/>
      <c r="L651" s="74" t="n"/>
      <c r="M651" s="74" t="n"/>
    </row>
    <row r="652" ht="14.25" customHeight="1">
      <c r="B652" s="80" t="n"/>
      <c r="D652" s="77" t="n"/>
      <c r="E652" s="46" t="n"/>
      <c r="F652" s="71" t="n"/>
      <c r="G652" s="91">
        <f>+IF(Tableau1[[#This Row],[Fournisseur]]="","",IFERROR(VLOOKUP(Tableau1[[#This Row],[Fournisseur]],SuiviFrs,2,FALSE),"Vérifier la syntaxe : Fournisseur introuvable au niveau du suivi des conventions"))</f>
        <v/>
      </c>
      <c r="H652" s="72">
        <f>++IF(Tableau1[[#This Row],[Fournisseur]]="","",C652+G652-1)</f>
        <v/>
      </c>
      <c r="I652" s="73">
        <f>++IF(Tableau1[[#This Row],[Fournisseur]]="","",IF(H652-Tableau1[[#This Row],[Date Paiement Effectif]]&gt;0," ",H652-Tableau1[[#This Row],[Date Paiement Effectif]]))</f>
        <v/>
      </c>
      <c r="J652" s="92">
        <f>++IF(Tableau1[[#This Row],[Fournisseur]]="","",IF(Tableau1[[#This Row],[Date Paiement Effectif]]="","Non encore payée",IF(I652&lt;0,"Attention, paiement hors délais","OK RAS")))</f>
        <v/>
      </c>
      <c r="K652" s="74" t="n"/>
      <c r="L652" s="74" t="n"/>
      <c r="M652" s="74" t="n"/>
    </row>
    <row r="653" ht="14.25" customHeight="1">
      <c r="B653" s="81" t="n"/>
      <c r="D653" s="77" t="n"/>
      <c r="E653" s="46" t="n"/>
      <c r="F653" s="75" t="n"/>
      <c r="G653" s="91">
        <f>+IF(Tableau1[[#This Row],[Fournisseur]]="","",IFERROR(VLOOKUP(Tableau1[[#This Row],[Fournisseur]],SuiviFrs,2,FALSE),"Vérifier la syntaxe : Fournisseur introuvable au niveau du suivi des conventions"))</f>
        <v/>
      </c>
      <c r="H653" s="72">
        <f>++IF(Tableau1[[#This Row],[Fournisseur]]="","",C653+G653-1)</f>
        <v/>
      </c>
      <c r="I653" s="73">
        <f>++IF(Tableau1[[#This Row],[Fournisseur]]="","",IF(H653-Tableau1[[#This Row],[Date Paiement Effectif]]&gt;0," ",H653-Tableau1[[#This Row],[Date Paiement Effectif]]))</f>
        <v/>
      </c>
      <c r="J653" s="92">
        <f>++IF(Tableau1[[#This Row],[Fournisseur]]="","",IF(Tableau1[[#This Row],[Date Paiement Effectif]]="","Non encore payée",IF(I653&lt;0,"Attention, paiement hors délais","OK RAS")))</f>
        <v/>
      </c>
      <c r="K653" s="76" t="n"/>
      <c r="L653" s="76" t="n"/>
      <c r="M653" s="74" t="n"/>
    </row>
    <row r="654" ht="14.25" customHeight="1">
      <c r="B654" s="81" t="n"/>
      <c r="D654" s="77" t="n"/>
      <c r="E654" s="46" t="n"/>
      <c r="F654" s="75" t="n"/>
      <c r="G654" s="91">
        <f>+IF(Tableau1[[#This Row],[Fournisseur]]="","",IFERROR(VLOOKUP(Tableau1[[#This Row],[Fournisseur]],SuiviFrs,2,FALSE),"Vérifier la syntaxe : Fournisseur introuvable au niveau du suivi des conventions"))</f>
        <v/>
      </c>
      <c r="H654" s="72">
        <f>++IF(Tableau1[[#This Row],[Fournisseur]]="","",C654+G654-1)</f>
        <v/>
      </c>
      <c r="I654" s="73">
        <f>++IF(Tableau1[[#This Row],[Fournisseur]]="","",IF(H654-Tableau1[[#This Row],[Date Paiement Effectif]]&gt;0," ",H654-Tableau1[[#This Row],[Date Paiement Effectif]]))</f>
        <v/>
      </c>
      <c r="J654" s="92">
        <f>++IF(Tableau1[[#This Row],[Fournisseur]]="","",IF(Tableau1[[#This Row],[Date Paiement Effectif]]="","Non encore payée",IF(I654&lt;0,"Attention, paiement hors délais","OK RAS")))</f>
        <v/>
      </c>
      <c r="K654" s="76" t="n"/>
      <c r="L654" s="76" t="n"/>
      <c r="M654" s="74" t="n"/>
    </row>
    <row r="655" ht="14.25" customHeight="1">
      <c r="B655" s="80" t="n"/>
      <c r="D655" s="77" t="n"/>
      <c r="E655" s="46" t="n"/>
      <c r="F655" s="71" t="n"/>
      <c r="G655" s="91">
        <f>+IF(Tableau1[[#This Row],[Fournisseur]]="","",IFERROR(VLOOKUP(Tableau1[[#This Row],[Fournisseur]],SuiviFrs,2,FALSE),"Vérifier la syntaxe : Fournisseur introuvable au niveau du suivi des conventions"))</f>
        <v/>
      </c>
      <c r="H655" s="72">
        <f>++IF(Tableau1[[#This Row],[Fournisseur]]="","",C655+G655-1)</f>
        <v/>
      </c>
      <c r="I655" s="73">
        <f>++IF(Tableau1[[#This Row],[Fournisseur]]="","",IF(H655-Tableau1[[#This Row],[Date Paiement Effectif]]&gt;0," ",H655-Tableau1[[#This Row],[Date Paiement Effectif]]))</f>
        <v/>
      </c>
      <c r="J655" s="92">
        <f>++IF(Tableau1[[#This Row],[Fournisseur]]="","",IF(Tableau1[[#This Row],[Date Paiement Effectif]]="","Non encore payée",IF(I655&lt;0,"Attention, paiement hors délais","OK RAS")))</f>
        <v/>
      </c>
      <c r="K655" s="74" t="n"/>
      <c r="L655" s="74" t="n"/>
      <c r="M655" s="74" t="n"/>
    </row>
    <row r="656" ht="14.25" customHeight="1">
      <c r="B656" s="80" t="n"/>
      <c r="D656" s="77" t="n"/>
      <c r="E656" s="46" t="n"/>
      <c r="F656" s="71" t="n"/>
      <c r="G656" s="91">
        <f>+IF(Tableau1[[#This Row],[Fournisseur]]="","",IFERROR(VLOOKUP(Tableau1[[#This Row],[Fournisseur]],SuiviFrs,2,FALSE),"Vérifier la syntaxe : Fournisseur introuvable au niveau du suivi des conventions"))</f>
        <v/>
      </c>
      <c r="H656" s="72">
        <f>++IF(Tableau1[[#This Row],[Fournisseur]]="","",C656+G656-1)</f>
        <v/>
      </c>
      <c r="I656" s="73">
        <f>++IF(Tableau1[[#This Row],[Fournisseur]]="","",IF(H656-Tableau1[[#This Row],[Date Paiement Effectif]]&gt;0," ",H656-Tableau1[[#This Row],[Date Paiement Effectif]]))</f>
        <v/>
      </c>
      <c r="J656" s="92">
        <f>++IF(Tableau1[[#This Row],[Fournisseur]]="","",IF(Tableau1[[#This Row],[Date Paiement Effectif]]="","Non encore payée",IF(I656&lt;0,"Attention, paiement hors délais","OK RAS")))</f>
        <v/>
      </c>
      <c r="K656" s="74" t="n"/>
      <c r="L656" s="74" t="n"/>
      <c r="M656" s="74" t="n"/>
    </row>
    <row r="657" ht="14.25" customHeight="1">
      <c r="B657" s="80" t="n"/>
      <c r="D657" s="77" t="n"/>
      <c r="E657" s="46" t="n"/>
      <c r="F657" s="71" t="n"/>
      <c r="G657" s="91">
        <f>+IF(Tableau1[[#This Row],[Fournisseur]]="","",IFERROR(VLOOKUP(Tableau1[[#This Row],[Fournisseur]],SuiviFrs,2,FALSE),"Vérifier la syntaxe : Fournisseur introuvable au niveau du suivi des conventions"))</f>
        <v/>
      </c>
      <c r="H657" s="72">
        <f>++IF(Tableau1[[#This Row],[Fournisseur]]="","",C657+G657-1)</f>
        <v/>
      </c>
      <c r="I657" s="73">
        <f>++IF(Tableau1[[#This Row],[Fournisseur]]="","",IF(H657-Tableau1[[#This Row],[Date Paiement Effectif]]&gt;0," ",H657-Tableau1[[#This Row],[Date Paiement Effectif]]))</f>
        <v/>
      </c>
      <c r="J657" s="92">
        <f>++IF(Tableau1[[#This Row],[Fournisseur]]="","",IF(Tableau1[[#This Row],[Date Paiement Effectif]]="","Non encore payée",IF(I657&lt;0,"Attention, paiement hors délais","OK RAS")))</f>
        <v/>
      </c>
      <c r="K657" s="74" t="n"/>
      <c r="L657" s="74" t="n"/>
      <c r="M657" s="74" t="n"/>
    </row>
    <row r="658" ht="14.25" customHeight="1">
      <c r="B658" s="80" t="n"/>
      <c r="D658" s="77" t="n"/>
      <c r="E658" s="46" t="n"/>
      <c r="F658" s="71" t="n"/>
      <c r="G658" s="91">
        <f>+IF(Tableau1[[#This Row],[Fournisseur]]="","",IFERROR(VLOOKUP(Tableau1[[#This Row],[Fournisseur]],SuiviFrs,2,FALSE),"Vérifier la syntaxe : Fournisseur introuvable au niveau du suivi des conventions"))</f>
        <v/>
      </c>
      <c r="H658" s="72">
        <f>++IF(Tableau1[[#This Row],[Fournisseur]]="","",C658+G658-1)</f>
        <v/>
      </c>
      <c r="I658" s="73">
        <f>++IF(Tableau1[[#This Row],[Fournisseur]]="","",IF(H658-Tableau1[[#This Row],[Date Paiement Effectif]]&gt;0," ",H658-Tableau1[[#This Row],[Date Paiement Effectif]]))</f>
        <v/>
      </c>
      <c r="J658" s="92">
        <f>++IF(Tableau1[[#This Row],[Fournisseur]]="","",IF(Tableau1[[#This Row],[Date Paiement Effectif]]="","Non encore payée",IF(I658&lt;0,"Attention, paiement hors délais","OK RAS")))</f>
        <v/>
      </c>
      <c r="K658" s="74" t="n"/>
      <c r="L658" s="74" t="n"/>
      <c r="M658" s="74" t="n"/>
    </row>
    <row r="659" ht="14.25" customHeight="1">
      <c r="B659" s="80" t="n"/>
      <c r="D659" s="77" t="n"/>
      <c r="E659" s="46" t="n"/>
      <c r="F659" s="71" t="n"/>
      <c r="G659" s="91">
        <f>+IF(Tableau1[[#This Row],[Fournisseur]]="","",IFERROR(VLOOKUP(Tableau1[[#This Row],[Fournisseur]],SuiviFrs,2,FALSE),"Vérifier la syntaxe : Fournisseur introuvable au niveau du suivi des conventions"))</f>
        <v/>
      </c>
      <c r="H659" s="72">
        <f>++IF(Tableau1[[#This Row],[Fournisseur]]="","",C659+G659-1)</f>
        <v/>
      </c>
      <c r="I659" s="73">
        <f>++IF(Tableau1[[#This Row],[Fournisseur]]="","",IF(H659-Tableau1[[#This Row],[Date Paiement Effectif]]&gt;0," ",H659-Tableau1[[#This Row],[Date Paiement Effectif]]))</f>
        <v/>
      </c>
      <c r="J659" s="92">
        <f>++IF(Tableau1[[#This Row],[Fournisseur]]="","",IF(Tableau1[[#This Row],[Date Paiement Effectif]]="","Non encore payée",IF(I659&lt;0,"Attention, paiement hors délais","OK RAS")))</f>
        <v/>
      </c>
      <c r="K659" s="89" t="n">
        <v>46106</v>
      </c>
      <c r="L659" s="89" t="n"/>
      <c r="M659" s="74" t="n"/>
    </row>
    <row r="660" ht="14.25" customHeight="1">
      <c r="B660" s="80" t="n"/>
      <c r="D660" s="77" t="n"/>
      <c r="E660" s="46" t="n"/>
      <c r="F660" s="71" t="n"/>
      <c r="G660" s="91">
        <f>+IF(Tableau1[[#This Row],[Fournisseur]]="","",IFERROR(VLOOKUP(Tableau1[[#This Row],[Fournisseur]],SuiviFrs,2,FALSE),"Vérifier la syntaxe : Fournisseur introuvable au niveau du suivi des conventions"))</f>
        <v/>
      </c>
      <c r="H660" s="72">
        <f>++IF(Tableau1[[#This Row],[Fournisseur]]="","",C660+G660-1)</f>
        <v/>
      </c>
      <c r="I660" s="73">
        <f>++IF(Tableau1[[#This Row],[Fournisseur]]="","",IF(H660-Tableau1[[#This Row],[Date Paiement Effectif]]&gt;0," ",H660-Tableau1[[#This Row],[Date Paiement Effectif]]))</f>
        <v/>
      </c>
      <c r="J660" s="92">
        <f>++IF(Tableau1[[#This Row],[Fournisseur]]="","",IF(Tableau1[[#This Row],[Date Paiement Effectif]]="","Non encore payée",IF(I660&lt;0,"Attention, paiement hors délais","OK RAS")))</f>
        <v/>
      </c>
      <c r="K660" s="89" t="n">
        <v>46106</v>
      </c>
      <c r="L660" s="89" t="n"/>
      <c r="M660" s="74" t="n"/>
    </row>
    <row r="661" ht="14.25" customHeight="1">
      <c r="B661" s="80" t="n"/>
      <c r="D661" s="77" t="n"/>
      <c r="E661" s="46" t="n"/>
      <c r="F661" s="71" t="n"/>
      <c r="G661" s="91">
        <f>+IF(Tableau1[[#This Row],[Fournisseur]]="","",IFERROR(VLOOKUP(Tableau1[[#This Row],[Fournisseur]],SuiviFrs,2,FALSE),"Vérifier la syntaxe : Fournisseur introuvable au niveau du suivi des conventions"))</f>
        <v/>
      </c>
      <c r="H661" s="72">
        <f>++IF(Tableau1[[#This Row],[Fournisseur]]="","",C661+G661-1)</f>
        <v/>
      </c>
      <c r="I661" s="73">
        <f>++IF(Tableau1[[#This Row],[Fournisseur]]="","",IF(H661-Tableau1[[#This Row],[Date Paiement Effectif]]&gt;0," ",H661-Tableau1[[#This Row],[Date Paiement Effectif]]))</f>
        <v/>
      </c>
      <c r="J661" s="92">
        <f>++IF(Tableau1[[#This Row],[Fournisseur]]="","",IF(Tableau1[[#This Row],[Date Paiement Effectif]]="","Non encore payée",IF(I661&lt;0,"Attention, paiement hors délais","OK RAS")))</f>
        <v/>
      </c>
      <c r="K661" s="89" t="n">
        <v>46106</v>
      </c>
      <c r="L661" s="89" t="n"/>
      <c r="M661" s="74" t="n"/>
    </row>
    <row r="662" ht="14.25" customHeight="1">
      <c r="B662" s="80" t="n"/>
      <c r="D662" s="77" t="n"/>
      <c r="E662" s="46" t="n"/>
      <c r="F662" s="71" t="n"/>
      <c r="G662" s="91">
        <f>+IF(Tableau1[[#This Row],[Fournisseur]]="","",IFERROR(VLOOKUP(Tableau1[[#This Row],[Fournisseur]],SuiviFrs,2,FALSE),"Vérifier la syntaxe : Fournisseur introuvable au niveau du suivi des conventions"))</f>
        <v/>
      </c>
      <c r="H662" s="72">
        <f>++IF(Tableau1[[#This Row],[Fournisseur]]="","",C662+G662-1)</f>
        <v/>
      </c>
      <c r="I662" s="73">
        <f>++IF(Tableau1[[#This Row],[Fournisseur]]="","",IF(H662-Tableau1[[#This Row],[Date Paiement Effectif]]&gt;0," ",H662-Tableau1[[#This Row],[Date Paiement Effectif]]))</f>
        <v/>
      </c>
      <c r="J662" s="92">
        <f>++IF(Tableau1[[#This Row],[Fournisseur]]="","",IF(Tableau1[[#This Row],[Date Paiement Effectif]]="","Non encore payée",IF(I662&lt;0,"Attention, paiement hors délais","OK RAS")))</f>
        <v/>
      </c>
      <c r="K662" s="89" t="n">
        <v>46106</v>
      </c>
      <c r="L662" s="89" t="n"/>
      <c r="M662" s="74" t="n"/>
    </row>
    <row r="663" ht="14.25" customHeight="1">
      <c r="B663" s="80" t="n"/>
      <c r="D663" s="77" t="n"/>
      <c r="E663" s="46" t="n"/>
      <c r="F663" s="71" t="n"/>
      <c r="G663" s="91">
        <f>+IF(Tableau1[[#This Row],[Fournisseur]]="","",IFERROR(VLOOKUP(Tableau1[[#This Row],[Fournisseur]],SuiviFrs,2,FALSE),"Vérifier la syntaxe : Fournisseur introuvable au niveau du suivi des conventions"))</f>
        <v/>
      </c>
      <c r="H663" s="72">
        <f>++IF(Tableau1[[#This Row],[Fournisseur]]="","",C663+G663-1)</f>
        <v/>
      </c>
      <c r="I663" s="73">
        <f>++IF(Tableau1[[#This Row],[Fournisseur]]="","",IF(H663-Tableau1[[#This Row],[Date Paiement Effectif]]&gt;0," ",H663-Tableau1[[#This Row],[Date Paiement Effectif]]))</f>
        <v/>
      </c>
      <c r="J663" s="92">
        <f>++IF(Tableau1[[#This Row],[Fournisseur]]="","",IF(Tableau1[[#This Row],[Date Paiement Effectif]]="","Non encore payée",IF(I663&lt;0,"Attention, paiement hors délais","OK RAS")))</f>
        <v/>
      </c>
      <c r="K663" s="89" t="n">
        <v>46106</v>
      </c>
      <c r="L663" s="89" t="n"/>
      <c r="M663" s="74" t="n"/>
    </row>
    <row r="664" ht="14.25" customHeight="1">
      <c r="B664" s="80" t="n"/>
      <c r="D664" s="77" t="n"/>
      <c r="E664" s="46" t="n"/>
      <c r="F664" s="71" t="n"/>
      <c r="G664" s="91">
        <f>+IF(Tableau1[[#This Row],[Fournisseur]]="","",IFERROR(VLOOKUP(Tableau1[[#This Row],[Fournisseur]],SuiviFrs,2,FALSE),"Vérifier la syntaxe : Fournisseur introuvable au niveau du suivi des conventions"))</f>
        <v/>
      </c>
      <c r="H664" s="72">
        <f>++IF(Tableau1[[#This Row],[Fournisseur]]="","",C664+G664-1)</f>
        <v/>
      </c>
      <c r="I664" s="73">
        <f>++IF(Tableau1[[#This Row],[Fournisseur]]="","",IF(H664-Tableau1[[#This Row],[Date Paiement Effectif]]&gt;0," ",H664-Tableau1[[#This Row],[Date Paiement Effectif]]))</f>
        <v/>
      </c>
      <c r="J664" s="92">
        <f>++IF(Tableau1[[#This Row],[Fournisseur]]="","",IF(Tableau1[[#This Row],[Date Paiement Effectif]]="","Non encore payée",IF(I664&lt;0,"Attention, paiement hors délais","OK RAS")))</f>
        <v/>
      </c>
      <c r="K664" s="89" t="n">
        <v>46106</v>
      </c>
      <c r="L664" s="89" t="n"/>
      <c r="M664" s="74" t="n"/>
    </row>
    <row r="665" ht="14.25" customHeight="1">
      <c r="B665" s="80" t="n"/>
      <c r="D665" s="77" t="n"/>
      <c r="E665" s="46" t="n"/>
      <c r="F665" s="71" t="n"/>
      <c r="G665" s="91">
        <f>+IF(Tableau1[[#This Row],[Fournisseur]]="","",IFERROR(VLOOKUP(Tableau1[[#This Row],[Fournisseur]],SuiviFrs,2,FALSE),"Vérifier la syntaxe : Fournisseur introuvable au niveau du suivi des conventions"))</f>
        <v/>
      </c>
      <c r="H665" s="72">
        <f>++IF(Tableau1[[#This Row],[Fournisseur]]="","",C665+G665-1)</f>
        <v/>
      </c>
      <c r="I665" s="73">
        <f>++IF(Tableau1[[#This Row],[Fournisseur]]="","",IF(H665-Tableau1[[#This Row],[Date Paiement Effectif]]&gt;0," ",H665-Tableau1[[#This Row],[Date Paiement Effectif]]))</f>
        <v/>
      </c>
      <c r="J665" s="92">
        <f>++IF(Tableau1[[#This Row],[Fournisseur]]="","",IF(Tableau1[[#This Row],[Date Paiement Effectif]]="","Non encore payée",IF(I665&lt;0,"Attention, paiement hors délais","OK RAS")))</f>
        <v/>
      </c>
      <c r="K665" s="89" t="n">
        <v>46106</v>
      </c>
      <c r="L665" s="89" t="n"/>
      <c r="M665" s="74" t="n"/>
    </row>
    <row r="666" ht="14.25" customHeight="1">
      <c r="B666" s="80" t="n"/>
      <c r="D666" s="77" t="n"/>
      <c r="E666" s="46" t="n"/>
      <c r="F666" s="71" t="n"/>
      <c r="G666" s="91">
        <f>+IF(Tableau1[[#This Row],[Fournisseur]]="","",IFERROR(VLOOKUP(Tableau1[[#This Row],[Fournisseur]],SuiviFrs,2,FALSE),"Vérifier la syntaxe : Fournisseur introuvable au niveau du suivi des conventions"))</f>
        <v/>
      </c>
      <c r="H666" s="72">
        <f>++IF(Tableau1[[#This Row],[Fournisseur]]="","",C666+G666-1)</f>
        <v/>
      </c>
      <c r="I666" s="73">
        <f>++IF(Tableau1[[#This Row],[Fournisseur]]="","",IF(H666-Tableau1[[#This Row],[Date Paiement Effectif]]&gt;0," ",H666-Tableau1[[#This Row],[Date Paiement Effectif]]))</f>
        <v/>
      </c>
      <c r="J666" s="92">
        <f>++IF(Tableau1[[#This Row],[Fournisseur]]="","",IF(Tableau1[[#This Row],[Date Paiement Effectif]]="","Non encore payée",IF(I666&lt;0,"Attention, paiement hors délais","OK RAS")))</f>
        <v/>
      </c>
      <c r="K666" s="89" t="n">
        <v>46106</v>
      </c>
      <c r="L666" s="89" t="n"/>
      <c r="M666" s="74" t="n"/>
    </row>
    <row r="667" ht="14.25" customHeight="1">
      <c r="B667" s="80" t="n"/>
      <c r="D667" s="77" t="n"/>
      <c r="E667" s="46" t="n"/>
      <c r="F667" s="71" t="n"/>
      <c r="G667" s="91">
        <f>+IF(Tableau1[[#This Row],[Fournisseur]]="","",IFERROR(VLOOKUP(Tableau1[[#This Row],[Fournisseur]],SuiviFrs,2,FALSE),"Vérifier la syntaxe : Fournisseur introuvable au niveau du suivi des conventions"))</f>
        <v/>
      </c>
      <c r="H667" s="72">
        <f>++IF(Tableau1[[#This Row],[Fournisseur]]="","",C667+G667-1)</f>
        <v/>
      </c>
      <c r="I667" s="73">
        <f>++IF(Tableau1[[#This Row],[Fournisseur]]="","",IF(H667-Tableau1[[#This Row],[Date Paiement Effectif]]&gt;0," ",H667-Tableau1[[#This Row],[Date Paiement Effectif]]))</f>
        <v/>
      </c>
      <c r="J667" s="92">
        <f>++IF(Tableau1[[#This Row],[Fournisseur]]="","",IF(Tableau1[[#This Row],[Date Paiement Effectif]]="","Non encore payée",IF(I667&lt;0,"Attention, paiement hors délais","OK RAS")))</f>
        <v/>
      </c>
      <c r="K667" s="89" t="n">
        <v>46106</v>
      </c>
      <c r="L667" s="89" t="n"/>
      <c r="M667" s="74" t="n"/>
    </row>
    <row r="668" ht="14.25" customHeight="1">
      <c r="B668" s="80" t="n"/>
      <c r="D668" s="77" t="n"/>
      <c r="E668" s="46" t="n"/>
      <c r="F668" s="71" t="n"/>
      <c r="G668" s="91">
        <f>+IF(Tableau1[[#This Row],[Fournisseur]]="","",IFERROR(VLOOKUP(Tableau1[[#This Row],[Fournisseur]],SuiviFrs,2,FALSE),"Vérifier la syntaxe : Fournisseur introuvable au niveau du suivi des conventions"))</f>
        <v/>
      </c>
      <c r="H668" s="72">
        <f>++IF(Tableau1[[#This Row],[Fournisseur]]="","",C668+G668-1)</f>
        <v/>
      </c>
      <c r="I668" s="73">
        <f>++IF(Tableau1[[#This Row],[Fournisseur]]="","",IF(H668-Tableau1[[#This Row],[Date Paiement Effectif]]&gt;0," ",H668-Tableau1[[#This Row],[Date Paiement Effectif]]))</f>
        <v/>
      </c>
      <c r="J668" s="92">
        <f>++IF(Tableau1[[#This Row],[Fournisseur]]="","",IF(Tableau1[[#This Row],[Date Paiement Effectif]]="","Non encore payée",IF(I668&lt;0,"Attention, paiement hors délais","OK RAS")))</f>
        <v/>
      </c>
      <c r="K668" s="89" t="n">
        <v>46106</v>
      </c>
      <c r="L668" s="89" t="n"/>
      <c r="M668" s="74" t="n"/>
    </row>
    <row r="669" ht="14.25" customHeight="1">
      <c r="B669" s="80" t="n"/>
      <c r="D669" s="77" t="n"/>
      <c r="E669" s="46" t="n"/>
      <c r="F669" s="71" t="n"/>
      <c r="G669" s="91">
        <f>+IF(Tableau1[[#This Row],[Fournisseur]]="","",IFERROR(VLOOKUP(Tableau1[[#This Row],[Fournisseur]],SuiviFrs,2,FALSE),"Vérifier la syntaxe : Fournisseur introuvable au niveau du suivi des conventions"))</f>
        <v/>
      </c>
      <c r="H669" s="72">
        <f>++IF(Tableau1[[#This Row],[Fournisseur]]="","",C669+G669-1)</f>
        <v/>
      </c>
      <c r="I669" s="73">
        <f>++IF(Tableau1[[#This Row],[Fournisseur]]="","",IF(H669-Tableau1[[#This Row],[Date Paiement Effectif]]&gt;0," ",H669-Tableau1[[#This Row],[Date Paiement Effectif]]))</f>
        <v/>
      </c>
      <c r="J669" s="92">
        <f>++IF(Tableau1[[#This Row],[Fournisseur]]="","",IF(Tableau1[[#This Row],[Date Paiement Effectif]]="","Non encore payée",IF(I669&lt;0,"Attention, paiement hors délais","OK RAS")))</f>
        <v/>
      </c>
      <c r="K669" s="89" t="n">
        <v>46106</v>
      </c>
      <c r="L669" s="89" t="n"/>
      <c r="M669" s="74" t="n"/>
    </row>
    <row r="670" ht="14.25" customHeight="1">
      <c r="B670" s="80" t="n"/>
      <c r="D670" s="77" t="n"/>
      <c r="E670" s="46" t="n"/>
      <c r="F670" s="71" t="n"/>
      <c r="G670" s="91">
        <f>+IF(Tableau1[[#This Row],[Fournisseur]]="","",IFERROR(VLOOKUP(Tableau1[[#This Row],[Fournisseur]],SuiviFrs,2,FALSE),"Vérifier la syntaxe : Fournisseur introuvable au niveau du suivi des conventions"))</f>
        <v/>
      </c>
      <c r="H670" s="72">
        <f>++IF(Tableau1[[#This Row],[Fournisseur]]="","",C670+G670-1)</f>
        <v/>
      </c>
      <c r="I670" s="73">
        <f>++IF(Tableau1[[#This Row],[Fournisseur]]="","",IF(H670-Tableau1[[#This Row],[Date Paiement Effectif]]&gt;0," ",H670-Tableau1[[#This Row],[Date Paiement Effectif]]))</f>
        <v/>
      </c>
      <c r="J670" s="92">
        <f>++IF(Tableau1[[#This Row],[Fournisseur]]="","",IF(Tableau1[[#This Row],[Date Paiement Effectif]]="","Non encore payée",IF(I670&lt;0,"Attention, paiement hors délais","OK RAS")))</f>
        <v/>
      </c>
      <c r="K670" s="89" t="n">
        <v>46106</v>
      </c>
      <c r="L670" s="89" t="n"/>
      <c r="M670" s="74" t="n"/>
    </row>
    <row r="671" ht="14.25" customHeight="1">
      <c r="B671" s="80" t="n"/>
      <c r="D671" s="77" t="n"/>
      <c r="E671" s="46" t="n"/>
      <c r="F671" s="71" t="n"/>
      <c r="G671" s="91">
        <f>+IF(Tableau1[[#This Row],[Fournisseur]]="","",IFERROR(VLOOKUP(Tableau1[[#This Row],[Fournisseur]],SuiviFrs,2,FALSE),"Vérifier la syntaxe : Fournisseur introuvable au niveau du suivi des conventions"))</f>
        <v/>
      </c>
      <c r="H671" s="72">
        <f>++IF(Tableau1[[#This Row],[Fournisseur]]="","",C671+G671-1)</f>
        <v/>
      </c>
      <c r="I671" s="73">
        <f>++IF(Tableau1[[#This Row],[Fournisseur]]="","",IF(H671-Tableau1[[#This Row],[Date Paiement Effectif]]&gt;0," ",H671-Tableau1[[#This Row],[Date Paiement Effectif]]))</f>
        <v/>
      </c>
      <c r="J671" s="92">
        <f>++IF(Tableau1[[#This Row],[Fournisseur]]="","",IF(Tableau1[[#This Row],[Date Paiement Effectif]]="","Non encore payée",IF(I671&lt;0,"Attention, paiement hors délais","OK RAS")))</f>
        <v/>
      </c>
      <c r="K671" s="89" t="n">
        <v>46106</v>
      </c>
      <c r="L671" s="89" t="n"/>
      <c r="M671" s="74" t="n"/>
    </row>
    <row r="672" ht="14.25" customHeight="1">
      <c r="B672" s="80" t="n"/>
      <c r="D672" s="77" t="n"/>
      <c r="E672" s="46" t="n"/>
      <c r="F672" s="71" t="n"/>
      <c r="G672" s="91">
        <f>+IF(Tableau1[[#This Row],[Fournisseur]]="","",IFERROR(VLOOKUP(Tableau1[[#This Row],[Fournisseur]],SuiviFrs,2,FALSE),"Vérifier la syntaxe : Fournisseur introuvable au niveau du suivi des conventions"))</f>
        <v/>
      </c>
      <c r="H672" s="72">
        <f>++IF(Tableau1[[#This Row],[Fournisseur]]="","",C672+G672-1)</f>
        <v/>
      </c>
      <c r="I672" s="73">
        <f>++IF(Tableau1[[#This Row],[Fournisseur]]="","",IF(H672-Tableau1[[#This Row],[Date Paiement Effectif]]&gt;0," ",H672-Tableau1[[#This Row],[Date Paiement Effectif]]))</f>
        <v/>
      </c>
      <c r="J672" s="92">
        <f>++IF(Tableau1[[#This Row],[Fournisseur]]="","",IF(Tableau1[[#This Row],[Date Paiement Effectif]]="","Non encore payée",IF(I672&lt;0,"Attention, paiement hors délais","OK RAS")))</f>
        <v/>
      </c>
      <c r="K672" s="74" t="n"/>
      <c r="L672" s="74" t="n"/>
      <c r="M672" s="74" t="n"/>
    </row>
    <row r="673" ht="14.25" customHeight="1">
      <c r="B673" s="80" t="n"/>
      <c r="D673" s="77" t="n"/>
      <c r="E673" s="46" t="n"/>
      <c r="F673" s="71" t="n"/>
      <c r="G673" s="91">
        <f>+IF(Tableau1[[#This Row],[Fournisseur]]="","",IFERROR(VLOOKUP(Tableau1[[#This Row],[Fournisseur]],SuiviFrs,2,FALSE),"Vérifier la syntaxe : Fournisseur introuvable au niveau du suivi des conventions"))</f>
        <v/>
      </c>
      <c r="H673" s="72">
        <f>++IF(Tableau1[[#This Row],[Fournisseur]]="","",C673+G673-1)</f>
        <v/>
      </c>
      <c r="I673" s="73">
        <f>++IF(Tableau1[[#This Row],[Fournisseur]]="","",IF(H673-Tableau1[[#This Row],[Date Paiement Effectif]]&gt;0," ",H673-Tableau1[[#This Row],[Date Paiement Effectif]]))</f>
        <v/>
      </c>
      <c r="J673" s="92">
        <f>++IF(Tableau1[[#This Row],[Fournisseur]]="","",IF(Tableau1[[#This Row],[Date Paiement Effectif]]="","Non encore payée",IF(I673&lt;0,"Attention, paiement hors délais","OK RAS")))</f>
        <v/>
      </c>
      <c r="K673" s="74" t="n"/>
      <c r="L673" s="74" t="n"/>
      <c r="M673" s="74" t="n"/>
    </row>
    <row r="674" ht="14.25" customHeight="1">
      <c r="B674" s="80" t="n"/>
      <c r="D674" s="77" t="n"/>
      <c r="E674" s="46" t="n"/>
      <c r="F674" s="71" t="n"/>
      <c r="G674" s="91">
        <f>+IF(Tableau1[[#This Row],[Fournisseur]]="","",IFERROR(VLOOKUP(Tableau1[[#This Row],[Fournisseur]],SuiviFrs,2,FALSE),"Vérifier la syntaxe : Fournisseur introuvable au niveau du suivi des conventions"))</f>
        <v/>
      </c>
      <c r="H674" s="72">
        <f>++IF(Tableau1[[#This Row],[Fournisseur]]="","",C674+G674-1)</f>
        <v/>
      </c>
      <c r="I674" s="73">
        <f>++IF(Tableau1[[#This Row],[Fournisseur]]="","",IF(H674-Tableau1[[#This Row],[Date Paiement Effectif]]&gt;0," ",H674-Tableau1[[#This Row],[Date Paiement Effectif]]))</f>
        <v/>
      </c>
      <c r="J674" s="92">
        <f>++IF(Tableau1[[#This Row],[Fournisseur]]="","",IF(Tableau1[[#This Row],[Date Paiement Effectif]]="","Non encore payée",IF(I674&lt;0,"Attention, paiement hors délais","OK RAS")))</f>
        <v/>
      </c>
      <c r="K674" s="74" t="n"/>
      <c r="L674" s="74" t="n"/>
      <c r="M674" s="74" t="n"/>
    </row>
    <row r="675" ht="14.25" customHeight="1">
      <c r="B675" s="80" t="n"/>
      <c r="D675" s="77" t="n"/>
      <c r="E675" s="46" t="n"/>
      <c r="F675" s="71" t="n"/>
      <c r="G675" s="91">
        <f>+IF(Tableau1[[#This Row],[Fournisseur]]="","",IFERROR(VLOOKUP(Tableau1[[#This Row],[Fournisseur]],SuiviFrs,2,FALSE),"Vérifier la syntaxe : Fournisseur introuvable au niveau du suivi des conventions"))</f>
        <v/>
      </c>
      <c r="H675" s="72">
        <f>++IF(Tableau1[[#This Row],[Fournisseur]]="","",C675+G675-1)</f>
        <v/>
      </c>
      <c r="I675" s="73">
        <f>++IF(Tableau1[[#This Row],[Fournisseur]]="","",IF(H675-Tableau1[[#This Row],[Date Paiement Effectif]]&gt;0," ",H675-Tableau1[[#This Row],[Date Paiement Effectif]]))</f>
        <v/>
      </c>
      <c r="J675" s="92">
        <f>++IF(Tableau1[[#This Row],[Fournisseur]]="","",IF(Tableau1[[#This Row],[Date Paiement Effectif]]="","Non encore payée",IF(I675&lt;0,"Attention, paiement hors délais","OK RAS")))</f>
        <v/>
      </c>
      <c r="K675" s="74" t="n"/>
      <c r="L675" s="74" t="n"/>
      <c r="M675" s="74" t="n"/>
    </row>
    <row r="676" ht="14.25" customHeight="1">
      <c r="B676" s="80" t="n"/>
      <c r="D676" s="77" t="n"/>
      <c r="E676" s="46" t="n"/>
      <c r="F676" s="71" t="n"/>
      <c r="G676" s="91">
        <f>+IF(Tableau1[[#This Row],[Fournisseur]]="","",IFERROR(VLOOKUP(Tableau1[[#This Row],[Fournisseur]],SuiviFrs,2,FALSE),"Vérifier la syntaxe : Fournisseur introuvable au niveau du suivi des conventions"))</f>
        <v/>
      </c>
      <c r="H676" s="72">
        <f>++IF(Tableau1[[#This Row],[Fournisseur]]="","",C676+G676-1)</f>
        <v/>
      </c>
      <c r="I676" s="73">
        <f>++IF(Tableau1[[#This Row],[Fournisseur]]="","",IF(H676-Tableau1[[#This Row],[Date Paiement Effectif]]&gt;0," ",H676-Tableau1[[#This Row],[Date Paiement Effectif]]))</f>
        <v/>
      </c>
      <c r="J676" s="92">
        <f>++IF(Tableau1[[#This Row],[Fournisseur]]="","",IF(Tableau1[[#This Row],[Date Paiement Effectif]]="","Non encore payée",IF(I676&lt;0,"Attention, paiement hors délais","OK RAS")))</f>
        <v/>
      </c>
      <c r="K676" s="74" t="n"/>
      <c r="L676" s="74" t="n"/>
      <c r="M676" s="74" t="n"/>
    </row>
    <row r="677" ht="14.25" customHeight="1">
      <c r="B677" s="80" t="n"/>
      <c r="D677" s="77" t="n"/>
      <c r="E677" s="46" t="n"/>
      <c r="F677" s="71" t="n"/>
      <c r="G677" s="91">
        <f>+IF(Tableau1[[#This Row],[Fournisseur]]="","",IFERROR(VLOOKUP(Tableau1[[#This Row],[Fournisseur]],SuiviFrs,2,FALSE),"Vérifier la syntaxe : Fournisseur introuvable au niveau du suivi des conventions"))</f>
        <v/>
      </c>
      <c r="H677" s="72">
        <f>++IF(Tableau1[[#This Row],[Fournisseur]]="","",C677+G677-1)</f>
        <v/>
      </c>
      <c r="I677" s="73">
        <f>++IF(Tableau1[[#This Row],[Fournisseur]]="","",IF(H677-Tableau1[[#This Row],[Date Paiement Effectif]]&gt;0," ",H677-Tableau1[[#This Row],[Date Paiement Effectif]]))</f>
        <v/>
      </c>
      <c r="J677" s="92">
        <f>++IF(Tableau1[[#This Row],[Fournisseur]]="","",IF(Tableau1[[#This Row],[Date Paiement Effectif]]="","Non encore payée",IF(I677&lt;0,"Attention, paiement hors délais","OK RAS")))</f>
        <v/>
      </c>
      <c r="K677" s="74" t="n"/>
      <c r="L677" s="74" t="n"/>
      <c r="M677" s="74" t="n"/>
    </row>
    <row r="678" ht="14.25" customHeight="1">
      <c r="B678" s="80" t="n"/>
      <c r="D678" s="77" t="n"/>
      <c r="E678" s="46" t="n"/>
      <c r="F678" s="71" t="n"/>
      <c r="G678" s="91">
        <f>+IF(Tableau1[[#This Row],[Fournisseur]]="","",IFERROR(VLOOKUP(Tableau1[[#This Row],[Fournisseur]],SuiviFrs,2,FALSE),"Vérifier la syntaxe : Fournisseur introuvable au niveau du suivi des conventions"))</f>
        <v/>
      </c>
      <c r="H678" s="72">
        <f>++IF(Tableau1[[#This Row],[Fournisseur]]="","",C678+G678-1)</f>
        <v/>
      </c>
      <c r="I678" s="73">
        <f>++IF(Tableau1[[#This Row],[Fournisseur]]="","",IF(H678-Tableau1[[#This Row],[Date Paiement Effectif]]&gt;0," ",H678-Tableau1[[#This Row],[Date Paiement Effectif]]))</f>
        <v/>
      </c>
      <c r="J678" s="92">
        <f>++IF(Tableau1[[#This Row],[Fournisseur]]="","",IF(Tableau1[[#This Row],[Date Paiement Effectif]]="","Non encore payée",IF(I678&lt;0,"Attention, paiement hors délais","OK RAS")))</f>
        <v/>
      </c>
      <c r="K678" s="74" t="n"/>
      <c r="L678" s="74" t="n"/>
      <c r="M678" s="74" t="n"/>
    </row>
    <row r="679" ht="14.25" customHeight="1">
      <c r="B679" s="80" t="n"/>
      <c r="D679" s="77" t="n"/>
      <c r="E679" s="46" t="n"/>
      <c r="F679" s="71" t="n"/>
      <c r="G679" s="91">
        <f>+IF(Tableau1[[#This Row],[Fournisseur]]="","",IFERROR(VLOOKUP(Tableau1[[#This Row],[Fournisseur]],SuiviFrs,2,FALSE),"Vérifier la syntaxe : Fournisseur introuvable au niveau du suivi des conventions"))</f>
        <v/>
      </c>
      <c r="H679" s="72">
        <f>++IF(Tableau1[[#This Row],[Fournisseur]]="","",C679+G679-1)</f>
        <v/>
      </c>
      <c r="I679" s="73">
        <f>++IF(Tableau1[[#This Row],[Fournisseur]]="","",IF(H679-Tableau1[[#This Row],[Date Paiement Effectif]]&gt;0," ",H679-Tableau1[[#This Row],[Date Paiement Effectif]]))</f>
        <v/>
      </c>
      <c r="J679" s="92">
        <f>++IF(Tableau1[[#This Row],[Fournisseur]]="","",IF(Tableau1[[#This Row],[Date Paiement Effectif]]="","Non encore payée",IF(I679&lt;0,"Attention, paiement hors délais","OK RAS")))</f>
        <v/>
      </c>
      <c r="K679" s="74" t="n"/>
      <c r="L679" s="74" t="n"/>
      <c r="M679" s="74" t="n"/>
    </row>
    <row r="680" ht="14.25" customHeight="1">
      <c r="B680" s="80" t="n"/>
      <c r="D680" s="77" t="n"/>
      <c r="E680" s="46" t="n"/>
      <c r="F680" s="71" t="n"/>
      <c r="G680" s="91">
        <f>+IF(Tableau1[[#This Row],[Fournisseur]]="","",IFERROR(VLOOKUP(Tableau1[[#This Row],[Fournisseur]],SuiviFrs,2,FALSE),"Vérifier la syntaxe : Fournisseur introuvable au niveau du suivi des conventions"))</f>
        <v/>
      </c>
      <c r="H680" s="72">
        <f>++IF(Tableau1[[#This Row],[Fournisseur]]="","",C680+G680-1)</f>
        <v/>
      </c>
      <c r="I680" s="73">
        <f>++IF(Tableau1[[#This Row],[Fournisseur]]="","",IF(H680-Tableau1[[#This Row],[Date Paiement Effectif]]&gt;0," ",H680-Tableau1[[#This Row],[Date Paiement Effectif]]))</f>
        <v/>
      </c>
      <c r="J680" s="92">
        <f>++IF(Tableau1[[#This Row],[Fournisseur]]="","",IF(Tableau1[[#This Row],[Date Paiement Effectif]]="","Non encore payée",IF(I680&lt;0,"Attention, paiement hors délais","OK RAS")))</f>
        <v/>
      </c>
      <c r="K680" s="74" t="n"/>
      <c r="L680" s="74" t="n"/>
      <c r="M680" s="74" t="n"/>
    </row>
    <row r="681" ht="14.25" customHeight="1">
      <c r="B681" s="80" t="n"/>
      <c r="D681" s="77" t="n"/>
      <c r="E681" s="46" t="n"/>
      <c r="F681" s="71" t="n"/>
      <c r="G681" s="91">
        <f>+IF(Tableau1[[#This Row],[Fournisseur]]="","",IFERROR(VLOOKUP(Tableau1[[#This Row],[Fournisseur]],SuiviFrs,2,FALSE),"Vérifier la syntaxe : Fournisseur introuvable au niveau du suivi des conventions"))</f>
        <v/>
      </c>
      <c r="H681" s="72">
        <f>++IF(Tableau1[[#This Row],[Fournisseur]]="","",C681+G681-1)</f>
        <v/>
      </c>
      <c r="I681" s="73">
        <f>++IF(Tableau1[[#This Row],[Fournisseur]]="","",IF(H681-Tableau1[[#This Row],[Date Paiement Effectif]]&gt;0," ",H681-Tableau1[[#This Row],[Date Paiement Effectif]]))</f>
        <v/>
      </c>
      <c r="J681" s="92">
        <f>++IF(Tableau1[[#This Row],[Fournisseur]]="","",IF(Tableau1[[#This Row],[Date Paiement Effectif]]="","Non encore payée",IF(I681&lt;0,"Attention, paiement hors délais","OK RAS")))</f>
        <v/>
      </c>
      <c r="K681" s="74" t="n"/>
      <c r="L681" s="74" t="n"/>
      <c r="M681" s="74" t="n"/>
    </row>
    <row r="682" ht="14.25" customHeight="1">
      <c r="B682" s="80" t="n"/>
      <c r="D682" s="77" t="n"/>
      <c r="E682" s="46" t="n"/>
      <c r="F682" s="71" t="n"/>
      <c r="G682" s="91">
        <f>+IF(Tableau1[[#This Row],[Fournisseur]]="","",IFERROR(VLOOKUP(Tableau1[[#This Row],[Fournisseur]],SuiviFrs,2,FALSE),"Vérifier la syntaxe : Fournisseur introuvable au niveau du suivi des conventions"))</f>
        <v/>
      </c>
      <c r="H682" s="72">
        <f>++IF(Tableau1[[#This Row],[Fournisseur]]="","",C682+G682-1)</f>
        <v/>
      </c>
      <c r="I682" s="73">
        <f>++IF(Tableau1[[#This Row],[Fournisseur]]="","",IF(H682-Tableau1[[#This Row],[Date Paiement Effectif]]&gt;0," ",H682-Tableau1[[#This Row],[Date Paiement Effectif]]))</f>
        <v/>
      </c>
      <c r="J682" s="92">
        <f>++IF(Tableau1[[#This Row],[Fournisseur]]="","",IF(Tableau1[[#This Row],[Date Paiement Effectif]]="","Non encore payée",IF(I682&lt;0,"Attention, paiement hors délais","OK RAS")))</f>
        <v/>
      </c>
      <c r="K682" s="74" t="n"/>
      <c r="L682" s="74" t="n"/>
      <c r="M682" s="74" t="n"/>
    </row>
    <row r="683" ht="14.25" customHeight="1">
      <c r="B683" s="80" t="n"/>
      <c r="D683" s="77" t="n"/>
      <c r="E683" s="46" t="n"/>
      <c r="F683" s="71" t="n"/>
      <c r="G683" s="91">
        <f>+IF(Tableau1[[#This Row],[Fournisseur]]="","",IFERROR(VLOOKUP(Tableau1[[#This Row],[Fournisseur]],SuiviFrs,2,FALSE),"Vérifier la syntaxe : Fournisseur introuvable au niveau du suivi des conventions"))</f>
        <v/>
      </c>
      <c r="H683" s="72">
        <f>++IF(Tableau1[[#This Row],[Fournisseur]]="","",C683+G683-1)</f>
        <v/>
      </c>
      <c r="I683" s="73">
        <f>++IF(Tableau1[[#This Row],[Fournisseur]]="","",IF(H683-Tableau1[[#This Row],[Date Paiement Effectif]]&gt;0," ",H683-Tableau1[[#This Row],[Date Paiement Effectif]]))</f>
        <v/>
      </c>
      <c r="J683" s="92">
        <f>++IF(Tableau1[[#This Row],[Fournisseur]]="","",IF(Tableau1[[#This Row],[Date Paiement Effectif]]="","Non encore payée",IF(I683&lt;0,"Attention, paiement hors délais","OK RAS")))</f>
        <v/>
      </c>
      <c r="K683" s="74" t="n"/>
      <c r="L683" s="74" t="n"/>
      <c r="M683" s="74" t="n"/>
    </row>
    <row r="684" ht="14.25" customHeight="1">
      <c r="B684" s="80" t="n"/>
      <c r="D684" s="77" t="n"/>
      <c r="E684" s="46" t="n"/>
      <c r="F684" s="71" t="n"/>
      <c r="G684" s="91">
        <f>+IF(Tableau1[[#This Row],[Fournisseur]]="","",IFERROR(VLOOKUP(Tableau1[[#This Row],[Fournisseur]],SuiviFrs,2,FALSE),"Vérifier la syntaxe : Fournisseur introuvable au niveau du suivi des conventions"))</f>
        <v/>
      </c>
      <c r="H684" s="72">
        <f>++IF(Tableau1[[#This Row],[Fournisseur]]="","",C684+G684-1)</f>
        <v/>
      </c>
      <c r="I684" s="73">
        <f>++IF(Tableau1[[#This Row],[Fournisseur]]="","",IF(H684-Tableau1[[#This Row],[Date Paiement Effectif]]&gt;0," ",H684-Tableau1[[#This Row],[Date Paiement Effectif]]))</f>
        <v/>
      </c>
      <c r="J684" s="92">
        <f>++IF(Tableau1[[#This Row],[Fournisseur]]="","",IF(Tableau1[[#This Row],[Date Paiement Effectif]]="","Non encore payée",IF(I684&lt;0,"Attention, paiement hors délais","OK RAS")))</f>
        <v/>
      </c>
      <c r="K684" s="74" t="n"/>
      <c r="L684" s="74" t="n"/>
      <c r="M684" s="74" t="n"/>
    </row>
    <row r="685" ht="14.25" customHeight="1">
      <c r="B685" s="80" t="n"/>
      <c r="D685" s="77" t="n"/>
      <c r="E685" s="46" t="n"/>
      <c r="F685" s="71" t="n"/>
      <c r="G685" s="91">
        <f>+IF(Tableau1[[#This Row],[Fournisseur]]="","",IFERROR(VLOOKUP(Tableau1[[#This Row],[Fournisseur]],SuiviFrs,2,FALSE),"Vérifier la syntaxe : Fournisseur introuvable au niveau du suivi des conventions"))</f>
        <v/>
      </c>
      <c r="H685" s="72">
        <f>++IF(Tableau1[[#This Row],[Fournisseur]]="","",C685+G685-1)</f>
        <v/>
      </c>
      <c r="I685" s="73">
        <f>++IF(Tableau1[[#This Row],[Fournisseur]]="","",IF(H685-Tableau1[[#This Row],[Date Paiement Effectif]]&gt;0," ",H685-Tableau1[[#This Row],[Date Paiement Effectif]]))</f>
        <v/>
      </c>
      <c r="J685" s="92">
        <f>++IF(Tableau1[[#This Row],[Fournisseur]]="","",IF(Tableau1[[#This Row],[Date Paiement Effectif]]="","Non encore payée",IF(I685&lt;0,"Attention, paiement hors délais","OK RAS")))</f>
        <v/>
      </c>
      <c r="K685" s="74" t="n"/>
      <c r="L685" s="74" t="n"/>
      <c r="M685" s="74" t="n"/>
    </row>
    <row r="686" ht="14.25" customHeight="1">
      <c r="B686" s="80" t="n"/>
      <c r="D686" s="77" t="n"/>
      <c r="E686" s="46" t="n"/>
      <c r="F686" s="71" t="n"/>
      <c r="G686" s="91">
        <f>+IF(Tableau1[[#This Row],[Fournisseur]]="","",IFERROR(VLOOKUP(Tableau1[[#This Row],[Fournisseur]],SuiviFrs,2,FALSE),"Vérifier la syntaxe : Fournisseur introuvable au niveau du suivi des conventions"))</f>
        <v/>
      </c>
      <c r="H686" s="72">
        <f>++IF(Tableau1[[#This Row],[Fournisseur]]="","",C686+G686-1)</f>
        <v/>
      </c>
      <c r="I686" s="73">
        <f>++IF(Tableau1[[#This Row],[Fournisseur]]="","",IF(H686-Tableau1[[#This Row],[Date Paiement Effectif]]&gt;0," ",H686-Tableau1[[#This Row],[Date Paiement Effectif]]))</f>
        <v/>
      </c>
      <c r="J686" s="92">
        <f>++IF(Tableau1[[#This Row],[Fournisseur]]="","",IF(Tableau1[[#This Row],[Date Paiement Effectif]]="","Non encore payée",IF(I686&lt;0,"Attention, paiement hors délais","OK RAS")))</f>
        <v/>
      </c>
      <c r="K686" s="74" t="n"/>
      <c r="L686" s="74" t="n"/>
      <c r="M686" s="74" t="n"/>
    </row>
    <row r="687" ht="14.25" customHeight="1">
      <c r="B687" s="80" t="n"/>
      <c r="D687" s="77" t="n"/>
      <c r="E687" s="46" t="n"/>
      <c r="F687" s="71" t="n"/>
      <c r="G687" s="91">
        <f>+IF(Tableau1[[#This Row],[Fournisseur]]="","",IFERROR(VLOOKUP(Tableau1[[#This Row],[Fournisseur]],SuiviFrs,2,FALSE),"Vérifier la syntaxe : Fournisseur introuvable au niveau du suivi des conventions"))</f>
        <v/>
      </c>
      <c r="H687" s="72">
        <f>++IF(Tableau1[[#This Row],[Fournisseur]]="","",C687+G687-1)</f>
        <v/>
      </c>
      <c r="I687" s="73">
        <f>++IF(Tableau1[[#This Row],[Fournisseur]]="","",IF(H687-Tableau1[[#This Row],[Date Paiement Effectif]]&gt;0," ",H687-Tableau1[[#This Row],[Date Paiement Effectif]]))</f>
        <v/>
      </c>
      <c r="J687" s="92">
        <f>++IF(Tableau1[[#This Row],[Fournisseur]]="","",IF(Tableau1[[#This Row],[Date Paiement Effectif]]="","Non encore payée",IF(I687&lt;0,"Attention, paiement hors délais","OK RAS")))</f>
        <v/>
      </c>
      <c r="K687" s="74" t="n"/>
      <c r="L687" s="74" t="n"/>
      <c r="M687" s="74" t="n"/>
    </row>
    <row r="688" ht="14.25" customHeight="1">
      <c r="B688" s="80" t="n"/>
      <c r="D688" s="77" t="n"/>
      <c r="E688" s="46" t="n"/>
      <c r="F688" s="71" t="n"/>
      <c r="G688" s="91">
        <f>+IF(Tableau1[[#This Row],[Fournisseur]]="","",IFERROR(VLOOKUP(Tableau1[[#This Row],[Fournisseur]],SuiviFrs,2,FALSE),"Vérifier la syntaxe : Fournisseur introuvable au niveau du suivi des conventions"))</f>
        <v/>
      </c>
      <c r="H688" s="72">
        <f>++IF(Tableau1[[#This Row],[Fournisseur]]="","",C688+G688-1)</f>
        <v/>
      </c>
      <c r="I688" s="73">
        <f>++IF(Tableau1[[#This Row],[Fournisseur]]="","",IF(H688-Tableau1[[#This Row],[Date Paiement Effectif]]&gt;0," ",H688-Tableau1[[#This Row],[Date Paiement Effectif]]))</f>
        <v/>
      </c>
      <c r="J688" s="92">
        <f>++IF(Tableau1[[#This Row],[Fournisseur]]="","",IF(Tableau1[[#This Row],[Date Paiement Effectif]]="","Non encore payée",IF(I688&lt;0,"Attention, paiement hors délais","OK RAS")))</f>
        <v/>
      </c>
      <c r="K688" s="74" t="n"/>
      <c r="L688" s="74" t="n"/>
      <c r="M688" s="74" t="n"/>
    </row>
    <row r="689" ht="14.25" customHeight="1">
      <c r="B689" s="80" t="n"/>
      <c r="D689" s="77" t="n"/>
      <c r="E689" s="46" t="n"/>
      <c r="F689" s="71" t="n"/>
      <c r="G689" s="91">
        <f>+IF(Tableau1[[#This Row],[Fournisseur]]="","",IFERROR(VLOOKUP(Tableau1[[#This Row],[Fournisseur]],SuiviFrs,2,FALSE),"Vérifier la syntaxe : Fournisseur introuvable au niveau du suivi des conventions"))</f>
        <v/>
      </c>
      <c r="H689" s="72">
        <f>++IF(Tableau1[[#This Row],[Fournisseur]]="","",C689+G689-1)</f>
        <v/>
      </c>
      <c r="I689" s="73">
        <f>++IF(Tableau1[[#This Row],[Fournisseur]]="","",IF(H689-Tableau1[[#This Row],[Date Paiement Effectif]]&gt;0," ",H689-Tableau1[[#This Row],[Date Paiement Effectif]]))</f>
        <v/>
      </c>
      <c r="J689" s="92">
        <f>++IF(Tableau1[[#This Row],[Fournisseur]]="","",IF(Tableau1[[#This Row],[Date Paiement Effectif]]="","Non encore payée",IF(I689&lt;0,"Attention, paiement hors délais","OK RAS")))</f>
        <v/>
      </c>
      <c r="K689" s="74" t="n"/>
      <c r="L689" s="74" t="n"/>
      <c r="M689" s="74" t="n"/>
    </row>
    <row r="690" ht="14.25" customHeight="1">
      <c r="B690" s="80" t="n"/>
      <c r="D690" s="77" t="n"/>
      <c r="E690" s="46" t="n"/>
      <c r="F690" s="71" t="n"/>
      <c r="G690" s="91">
        <f>+IF(Tableau1[[#This Row],[Fournisseur]]="","",IFERROR(VLOOKUP(Tableau1[[#This Row],[Fournisseur]],SuiviFrs,2,FALSE),"Vérifier la syntaxe : Fournisseur introuvable au niveau du suivi des conventions"))</f>
        <v/>
      </c>
      <c r="H690" s="72">
        <f>++IF(Tableau1[[#This Row],[Fournisseur]]="","",C690+G690-1)</f>
        <v/>
      </c>
      <c r="I690" s="73">
        <f>++IF(Tableau1[[#This Row],[Fournisseur]]="","",IF(H690-Tableau1[[#This Row],[Date Paiement Effectif]]&gt;0," ",H690-Tableau1[[#This Row],[Date Paiement Effectif]]))</f>
        <v/>
      </c>
      <c r="J690" s="92">
        <f>++IF(Tableau1[[#This Row],[Fournisseur]]="","",IF(Tableau1[[#This Row],[Date Paiement Effectif]]="","Non encore payée",IF(I690&lt;0,"Attention, paiement hors délais","OK RAS")))</f>
        <v/>
      </c>
      <c r="K690" s="74" t="n"/>
      <c r="L690" s="74" t="n"/>
      <c r="M690" s="74" t="n"/>
    </row>
    <row r="691" ht="14.25" customHeight="1">
      <c r="B691" s="80" t="n"/>
      <c r="D691" s="77" t="n"/>
      <c r="E691" s="46" t="n"/>
      <c r="F691" s="71" t="n"/>
      <c r="G691" s="91">
        <f>+IF(Tableau1[[#This Row],[Fournisseur]]="","",IFERROR(VLOOKUP(Tableau1[[#This Row],[Fournisseur]],SuiviFrs,2,FALSE),"Vérifier la syntaxe : Fournisseur introuvable au niveau du suivi des conventions"))</f>
        <v/>
      </c>
      <c r="H691" s="72">
        <f>++IF(Tableau1[[#This Row],[Fournisseur]]="","",C691+G691-1)</f>
        <v/>
      </c>
      <c r="I691" s="73">
        <f>++IF(Tableau1[[#This Row],[Fournisseur]]="","",IF(H691-Tableau1[[#This Row],[Date Paiement Effectif]]&gt;0," ",H691-Tableau1[[#This Row],[Date Paiement Effectif]]))</f>
        <v/>
      </c>
      <c r="J691" s="92">
        <f>++IF(Tableau1[[#This Row],[Fournisseur]]="","",IF(Tableau1[[#This Row],[Date Paiement Effectif]]="","Non encore payée",IF(I691&lt;0,"Attention, paiement hors délais","OK RAS")))</f>
        <v/>
      </c>
      <c r="K691" s="74" t="n"/>
      <c r="L691" s="74" t="n"/>
      <c r="M691" s="74" t="n"/>
    </row>
    <row r="692" ht="14.25" customHeight="1">
      <c r="B692" s="80" t="n"/>
      <c r="D692" s="77" t="n"/>
      <c r="E692" s="46" t="n"/>
      <c r="F692" s="71" t="n"/>
      <c r="G692" s="91">
        <f>+IF(Tableau1[[#This Row],[Fournisseur]]="","",IFERROR(VLOOKUP(Tableau1[[#This Row],[Fournisseur]],SuiviFrs,2,FALSE),"Vérifier la syntaxe : Fournisseur introuvable au niveau du suivi des conventions"))</f>
        <v/>
      </c>
      <c r="H692" s="72">
        <f>++IF(Tableau1[[#This Row],[Fournisseur]]="","",C692+G692-1)</f>
        <v/>
      </c>
      <c r="I692" s="73">
        <f>++IF(Tableau1[[#This Row],[Fournisseur]]="","",IF(H692-Tableau1[[#This Row],[Date Paiement Effectif]]&gt;0," ",H692-Tableau1[[#This Row],[Date Paiement Effectif]]))</f>
        <v/>
      </c>
      <c r="J692" s="92">
        <f>++IF(Tableau1[[#This Row],[Fournisseur]]="","",IF(Tableau1[[#This Row],[Date Paiement Effectif]]="","Non encore payée",IF(I692&lt;0,"Attention, paiement hors délais","OK RAS")))</f>
        <v/>
      </c>
      <c r="K692" s="74" t="n"/>
      <c r="L692" s="74" t="n"/>
      <c r="M692" s="74" t="n"/>
    </row>
    <row r="693" ht="14.25" customHeight="1">
      <c r="B693" s="80" t="n"/>
      <c r="D693" s="77" t="n"/>
      <c r="E693" s="46" t="n"/>
      <c r="F693" s="71" t="n"/>
      <c r="G693" s="91">
        <f>+IF(Tableau1[[#This Row],[Fournisseur]]="","",IFERROR(VLOOKUP(Tableau1[[#This Row],[Fournisseur]],SuiviFrs,2,FALSE),"Vérifier la syntaxe : Fournisseur introuvable au niveau du suivi des conventions"))</f>
        <v/>
      </c>
      <c r="H693" s="72">
        <f>++IF(Tableau1[[#This Row],[Fournisseur]]="","",C693+G693-1)</f>
        <v/>
      </c>
      <c r="I693" s="73">
        <f>++IF(Tableau1[[#This Row],[Fournisseur]]="","",IF(H693-Tableau1[[#This Row],[Date Paiement Effectif]]&gt;0," ",H693-Tableau1[[#This Row],[Date Paiement Effectif]]))</f>
        <v/>
      </c>
      <c r="J693" s="92">
        <f>++IF(Tableau1[[#This Row],[Fournisseur]]="","",IF(Tableau1[[#This Row],[Date Paiement Effectif]]="","Non encore payée",IF(I693&lt;0,"Attention, paiement hors délais","OK RAS")))</f>
        <v/>
      </c>
      <c r="K693" s="74" t="n"/>
      <c r="L693" s="74" t="n"/>
      <c r="M693" s="74" t="n"/>
    </row>
    <row r="694" ht="14.25" customHeight="1">
      <c r="B694" s="80" t="n"/>
      <c r="D694" s="77" t="n"/>
      <c r="E694" s="46" t="n"/>
      <c r="F694" s="71" t="n"/>
      <c r="G694" s="91">
        <f>+IF(Tableau1[[#This Row],[Fournisseur]]="","",IFERROR(VLOOKUP(Tableau1[[#This Row],[Fournisseur]],SuiviFrs,2,FALSE),"Vérifier la syntaxe : Fournisseur introuvable au niveau du suivi des conventions"))</f>
        <v/>
      </c>
      <c r="H694" s="72">
        <f>++IF(Tableau1[[#This Row],[Fournisseur]]="","",C694+G694-1)</f>
        <v/>
      </c>
      <c r="I694" s="73">
        <f>++IF(Tableau1[[#This Row],[Fournisseur]]="","",IF(H694-Tableau1[[#This Row],[Date Paiement Effectif]]&gt;0," ",H694-Tableau1[[#This Row],[Date Paiement Effectif]]))</f>
        <v/>
      </c>
      <c r="J694" s="92">
        <f>++IF(Tableau1[[#This Row],[Fournisseur]]="","",IF(Tableau1[[#This Row],[Date Paiement Effectif]]="","Non encore payée",IF(I694&lt;0,"Attention, paiement hors délais","OK RAS")))</f>
        <v/>
      </c>
      <c r="K694" s="74" t="n"/>
      <c r="L694" s="74" t="n"/>
      <c r="M694" s="74" t="n"/>
    </row>
    <row r="695" ht="14.25" customHeight="1">
      <c r="B695" s="80" t="n"/>
      <c r="D695" s="77" t="n"/>
      <c r="E695" s="46" t="n"/>
      <c r="F695" s="71" t="n"/>
      <c r="G695" s="91">
        <f>+IF(Tableau1[[#This Row],[Fournisseur]]="","",IFERROR(VLOOKUP(Tableau1[[#This Row],[Fournisseur]],SuiviFrs,2,FALSE),"Vérifier la syntaxe : Fournisseur introuvable au niveau du suivi des conventions"))</f>
        <v/>
      </c>
      <c r="H695" s="72">
        <f>++IF(Tableau1[[#This Row],[Fournisseur]]="","",C695+G695-1)</f>
        <v/>
      </c>
      <c r="I695" s="73">
        <f>++IF(Tableau1[[#This Row],[Fournisseur]]="","",IF(H695-Tableau1[[#This Row],[Date Paiement Effectif]]&gt;0," ",H695-Tableau1[[#This Row],[Date Paiement Effectif]]))</f>
        <v/>
      </c>
      <c r="J695" s="92">
        <f>++IF(Tableau1[[#This Row],[Fournisseur]]="","",IF(Tableau1[[#This Row],[Date Paiement Effectif]]="","Non encore payée",IF(I695&lt;0,"Attention, paiement hors délais","OK RAS")))</f>
        <v/>
      </c>
      <c r="K695" s="74" t="n"/>
      <c r="L695" s="74" t="n"/>
      <c r="M695" s="74" t="n"/>
    </row>
    <row r="696" ht="14.25" customHeight="1">
      <c r="B696" s="80" t="n"/>
      <c r="D696" s="77" t="n"/>
      <c r="E696" s="46" t="n"/>
      <c r="F696" s="71" t="n"/>
      <c r="G696" s="91">
        <f>+IF(Tableau1[[#This Row],[Fournisseur]]="","",IFERROR(VLOOKUP(Tableau1[[#This Row],[Fournisseur]],SuiviFrs,2,FALSE),"Vérifier la syntaxe : Fournisseur introuvable au niveau du suivi des conventions"))</f>
        <v/>
      </c>
      <c r="H696" s="72">
        <f>++IF(Tableau1[[#This Row],[Fournisseur]]="","",C696+G696-1)</f>
        <v/>
      </c>
      <c r="I696" s="73">
        <f>++IF(Tableau1[[#This Row],[Fournisseur]]="","",IF(H696-Tableau1[[#This Row],[Date Paiement Effectif]]&gt;0," ",H696-Tableau1[[#This Row],[Date Paiement Effectif]]))</f>
        <v/>
      </c>
      <c r="J696" s="92">
        <f>++IF(Tableau1[[#This Row],[Fournisseur]]="","",IF(Tableau1[[#This Row],[Date Paiement Effectif]]="","Non encore payée",IF(I696&lt;0,"Attention, paiement hors délais","OK RAS")))</f>
        <v/>
      </c>
      <c r="K696" s="74" t="n"/>
      <c r="L696" s="74" t="n"/>
      <c r="M696" s="74" t="n"/>
    </row>
    <row r="697" ht="14.25" customHeight="1">
      <c r="B697" s="80" t="n"/>
      <c r="D697" s="77" t="n"/>
      <c r="E697" s="46" t="n"/>
      <c r="F697" s="71" t="n"/>
      <c r="G697" s="91">
        <f>+IF(Tableau1[[#This Row],[Fournisseur]]="","",IFERROR(VLOOKUP(Tableau1[[#This Row],[Fournisseur]],SuiviFrs,2,FALSE),"Vérifier la syntaxe : Fournisseur introuvable au niveau du suivi des conventions"))</f>
        <v/>
      </c>
      <c r="H697" s="72">
        <f>++IF(Tableau1[[#This Row],[Fournisseur]]="","",C697+G697-1)</f>
        <v/>
      </c>
      <c r="I697" s="73">
        <f>++IF(Tableau1[[#This Row],[Fournisseur]]="","",IF(H697-Tableau1[[#This Row],[Date Paiement Effectif]]&gt;0," ",H697-Tableau1[[#This Row],[Date Paiement Effectif]]))</f>
        <v/>
      </c>
      <c r="J697" s="92">
        <f>++IF(Tableau1[[#This Row],[Fournisseur]]="","",IF(Tableau1[[#This Row],[Date Paiement Effectif]]="","Non encore payée",IF(I697&lt;0,"Attention, paiement hors délais","OK RAS")))</f>
        <v/>
      </c>
      <c r="K697" s="74" t="n"/>
      <c r="L697" s="74" t="n"/>
      <c r="M697" s="74" t="n"/>
    </row>
    <row r="698" ht="14.25" customHeight="1">
      <c r="B698" s="80" t="n"/>
      <c r="D698" s="77" t="n"/>
      <c r="E698" s="46" t="n"/>
      <c r="F698" s="71" t="n"/>
      <c r="G698" s="91">
        <f>+IF(Tableau1[[#This Row],[Fournisseur]]="","",IFERROR(VLOOKUP(Tableau1[[#This Row],[Fournisseur]],SuiviFrs,2,FALSE),"Vérifier la syntaxe : Fournisseur introuvable au niveau du suivi des conventions"))</f>
        <v/>
      </c>
      <c r="H698" s="72">
        <f>++IF(Tableau1[[#This Row],[Fournisseur]]="","",C698+G698-1)</f>
        <v/>
      </c>
      <c r="I698" s="73">
        <f>++IF(Tableau1[[#This Row],[Fournisseur]]="","",IF(H698-Tableau1[[#This Row],[Date Paiement Effectif]]&gt;0," ",H698-Tableau1[[#This Row],[Date Paiement Effectif]]))</f>
        <v/>
      </c>
      <c r="J698" s="92">
        <f>++IF(Tableau1[[#This Row],[Fournisseur]]="","",IF(Tableau1[[#This Row],[Date Paiement Effectif]]="","Non encore payée",IF(I698&lt;0,"Attention, paiement hors délais","OK RAS")))</f>
        <v/>
      </c>
      <c r="K698" s="74" t="n"/>
      <c r="L698" s="74" t="n"/>
      <c r="M698" s="74" t="n"/>
    </row>
    <row r="699" ht="14.25" customHeight="1">
      <c r="B699" s="80" t="n"/>
      <c r="D699" s="77" t="n"/>
      <c r="E699" s="46" t="n"/>
      <c r="F699" s="71" t="n"/>
      <c r="G699" s="91">
        <f>+IF(Tableau1[[#This Row],[Fournisseur]]="","",IFERROR(VLOOKUP(Tableau1[[#This Row],[Fournisseur]],SuiviFrs,2,FALSE),"Vérifier la syntaxe : Fournisseur introuvable au niveau du suivi des conventions"))</f>
        <v/>
      </c>
      <c r="H699" s="72">
        <f>++IF(Tableau1[[#This Row],[Fournisseur]]="","",C699+G699-1)</f>
        <v/>
      </c>
      <c r="I699" s="73">
        <f>++IF(Tableau1[[#This Row],[Fournisseur]]="","",IF(H699-Tableau1[[#This Row],[Date Paiement Effectif]]&gt;0," ",H699-Tableau1[[#This Row],[Date Paiement Effectif]]))</f>
        <v/>
      </c>
      <c r="J699" s="92">
        <f>++IF(Tableau1[[#This Row],[Fournisseur]]="","",IF(Tableau1[[#This Row],[Date Paiement Effectif]]="","Non encore payée",IF(I699&lt;0,"Attention, paiement hors délais","OK RAS")))</f>
        <v/>
      </c>
      <c r="K699" s="74" t="n"/>
      <c r="L699" s="74" t="n"/>
      <c r="M699" s="74" t="n"/>
    </row>
    <row r="700" ht="14.25" customHeight="1">
      <c r="B700" s="80" t="n"/>
      <c r="D700" s="77" t="n"/>
      <c r="E700" s="46" t="n"/>
      <c r="F700" s="71" t="n"/>
      <c r="G700" s="91">
        <f>+IF(Tableau1[[#This Row],[Fournisseur]]="","",IFERROR(VLOOKUP(Tableau1[[#This Row],[Fournisseur]],SuiviFrs,2,FALSE),"Vérifier la syntaxe : Fournisseur introuvable au niveau du suivi des conventions"))</f>
        <v/>
      </c>
      <c r="H700" s="72">
        <f>++IF(Tableau1[[#This Row],[Fournisseur]]="","",C700+G700-1)</f>
        <v/>
      </c>
      <c r="I700" s="73">
        <f>++IF(Tableau1[[#This Row],[Fournisseur]]="","",IF(H700-Tableau1[[#This Row],[Date Paiement Effectif]]&gt;0," ",H700-Tableau1[[#This Row],[Date Paiement Effectif]]))</f>
        <v/>
      </c>
      <c r="J700" s="92">
        <f>++IF(Tableau1[[#This Row],[Fournisseur]]="","",IF(Tableau1[[#This Row],[Date Paiement Effectif]]="","Non encore payée",IF(I700&lt;0,"Attention, paiement hors délais","OK RAS")))</f>
        <v/>
      </c>
      <c r="K700" s="74" t="n"/>
      <c r="L700" s="74" t="n"/>
      <c r="M700" s="74" t="n"/>
    </row>
    <row r="701" ht="14.25" customHeight="1">
      <c r="B701" s="80" t="n"/>
      <c r="D701" s="77" t="n"/>
      <c r="E701" s="46" t="n"/>
      <c r="F701" s="71" t="n"/>
      <c r="G701" s="91">
        <f>+IF(Tableau1[[#This Row],[Fournisseur]]="","",IFERROR(VLOOKUP(Tableau1[[#This Row],[Fournisseur]],SuiviFrs,2,FALSE),"Vérifier la syntaxe : Fournisseur introuvable au niveau du suivi des conventions"))</f>
        <v/>
      </c>
      <c r="H701" s="72">
        <f>++IF(Tableau1[[#This Row],[Fournisseur]]="","",C701+G701-1)</f>
        <v/>
      </c>
      <c r="I701" s="73">
        <f>++IF(Tableau1[[#This Row],[Fournisseur]]="","",IF(H701-Tableau1[[#This Row],[Date Paiement Effectif]]&gt;0," ",H701-Tableau1[[#This Row],[Date Paiement Effectif]]))</f>
        <v/>
      </c>
      <c r="J701" s="92">
        <f>++IF(Tableau1[[#This Row],[Fournisseur]]="","",IF(Tableau1[[#This Row],[Date Paiement Effectif]]="","Non encore payée",IF(I701&lt;0,"Attention, paiement hors délais","OK RAS")))</f>
        <v/>
      </c>
      <c r="K701" s="74" t="n"/>
      <c r="L701" s="74" t="n"/>
      <c r="M701" s="74" t="n"/>
    </row>
    <row r="702" ht="14.25" customHeight="1">
      <c r="B702" s="80" t="n"/>
      <c r="D702" s="77" t="n"/>
      <c r="E702" s="46" t="n"/>
      <c r="F702" s="71" t="n"/>
      <c r="G702" s="91">
        <f>+IF(Tableau1[[#This Row],[Fournisseur]]="","",IFERROR(VLOOKUP(Tableau1[[#This Row],[Fournisseur]],SuiviFrs,2,FALSE),"Vérifier la syntaxe : Fournisseur introuvable au niveau du suivi des conventions"))</f>
        <v/>
      </c>
      <c r="H702" s="72">
        <f>++IF(Tableau1[[#This Row],[Fournisseur]]="","",C702+G702-1)</f>
        <v/>
      </c>
      <c r="I702" s="73">
        <f>++IF(Tableau1[[#This Row],[Fournisseur]]="","",IF(H702-Tableau1[[#This Row],[Date Paiement Effectif]]&gt;0," ",H702-Tableau1[[#This Row],[Date Paiement Effectif]]))</f>
        <v/>
      </c>
      <c r="J702" s="92">
        <f>++IF(Tableau1[[#This Row],[Fournisseur]]="","",IF(Tableau1[[#This Row],[Date Paiement Effectif]]="","Non encore payée",IF(I702&lt;0,"Attention, paiement hors délais","OK RAS")))</f>
        <v/>
      </c>
      <c r="K702" s="74" t="n"/>
      <c r="L702" s="74" t="n"/>
      <c r="M702" s="74" t="n"/>
    </row>
    <row r="703" ht="14.25" customHeight="1">
      <c r="B703" s="80" t="n"/>
      <c r="D703" s="77" t="n"/>
      <c r="E703" s="46" t="n"/>
      <c r="F703" s="71" t="n"/>
      <c r="G703" s="91">
        <f>+IF(Tableau1[[#This Row],[Fournisseur]]="","",IFERROR(VLOOKUP(Tableau1[[#This Row],[Fournisseur]],SuiviFrs,2,FALSE),"Vérifier la syntaxe : Fournisseur introuvable au niveau du suivi des conventions"))</f>
        <v/>
      </c>
      <c r="H703" s="72">
        <f>++IF(Tableau1[[#This Row],[Fournisseur]]="","",C703+G703-1)</f>
        <v/>
      </c>
      <c r="I703" s="73">
        <f>++IF(Tableau1[[#This Row],[Fournisseur]]="","",IF(H703-Tableau1[[#This Row],[Date Paiement Effectif]]&gt;0," ",H703-Tableau1[[#This Row],[Date Paiement Effectif]]))</f>
        <v/>
      </c>
      <c r="J703" s="92">
        <f>++IF(Tableau1[[#This Row],[Fournisseur]]="","",IF(Tableau1[[#This Row],[Date Paiement Effectif]]="","Non encore payée",IF(I703&lt;0,"Attention, paiement hors délais","OK RAS")))</f>
        <v/>
      </c>
      <c r="K703" s="74" t="n"/>
      <c r="L703" s="74" t="n"/>
      <c r="M703" s="74" t="n"/>
    </row>
    <row r="704" ht="14.25" customHeight="1">
      <c r="B704" s="80" t="n"/>
      <c r="D704" s="77" t="n"/>
      <c r="E704" s="46" t="n"/>
      <c r="F704" s="71" t="n"/>
      <c r="G704" s="91">
        <f>+IF(Tableau1[[#This Row],[Fournisseur]]="","",IFERROR(VLOOKUP(Tableau1[[#This Row],[Fournisseur]],SuiviFrs,2,FALSE),"Vérifier la syntaxe : Fournisseur introuvable au niveau du suivi des conventions"))</f>
        <v/>
      </c>
      <c r="H704" s="72">
        <f>++IF(Tableau1[[#This Row],[Fournisseur]]="","",C704+G704-1)</f>
        <v/>
      </c>
      <c r="I704" s="73">
        <f>++IF(Tableau1[[#This Row],[Fournisseur]]="","",IF(H704-Tableau1[[#This Row],[Date Paiement Effectif]]&gt;0," ",H704-Tableau1[[#This Row],[Date Paiement Effectif]]))</f>
        <v/>
      </c>
      <c r="J704" s="92">
        <f>++IF(Tableau1[[#This Row],[Fournisseur]]="","",IF(Tableau1[[#This Row],[Date Paiement Effectif]]="","Non encore payée",IF(I704&lt;0,"Attention, paiement hors délais","OK RAS")))</f>
        <v/>
      </c>
      <c r="K704" s="74" t="n"/>
      <c r="L704" s="74" t="n"/>
      <c r="M704" s="74" t="n"/>
    </row>
    <row r="705" ht="14.25" customHeight="1">
      <c r="B705" s="80" t="n"/>
      <c r="D705" s="77" t="n"/>
      <c r="E705" s="46" t="n"/>
      <c r="F705" s="71" t="n"/>
      <c r="G705" s="91">
        <f>+IF(Tableau1[[#This Row],[Fournisseur]]="","",IFERROR(VLOOKUP(Tableau1[[#This Row],[Fournisseur]],SuiviFrs,2,FALSE),"Vérifier la syntaxe : Fournisseur introuvable au niveau du suivi des conventions"))</f>
        <v/>
      </c>
      <c r="H705" s="72">
        <f>++IF(Tableau1[[#This Row],[Fournisseur]]="","",C705+G705-1)</f>
        <v/>
      </c>
      <c r="I705" s="73">
        <f>++IF(Tableau1[[#This Row],[Fournisseur]]="","",IF(H705-Tableau1[[#This Row],[Date Paiement Effectif]]&gt;0," ",H705-Tableau1[[#This Row],[Date Paiement Effectif]]))</f>
        <v/>
      </c>
      <c r="J705" s="92">
        <f>++IF(Tableau1[[#This Row],[Fournisseur]]="","",IF(Tableau1[[#This Row],[Date Paiement Effectif]]="","Non encore payée",IF(I705&lt;0,"Attention, paiement hors délais","OK RAS")))</f>
        <v/>
      </c>
      <c r="K705" s="74" t="n"/>
      <c r="L705" s="74" t="n"/>
      <c r="M705" s="74" t="n"/>
    </row>
    <row r="706" ht="14.25" customHeight="1">
      <c r="B706" s="80" t="n"/>
      <c r="D706" s="77" t="n"/>
      <c r="E706" s="46" t="n"/>
      <c r="F706" s="71" t="n"/>
      <c r="G706" s="91">
        <f>+IF(Tableau1[[#This Row],[Fournisseur]]="","",IFERROR(VLOOKUP(Tableau1[[#This Row],[Fournisseur]],SuiviFrs,2,FALSE),"Vérifier la syntaxe : Fournisseur introuvable au niveau du suivi des conventions"))</f>
        <v/>
      </c>
      <c r="H706" s="72">
        <f>++IF(Tableau1[[#This Row],[Fournisseur]]="","",C706+G706-1)</f>
        <v/>
      </c>
      <c r="I706" s="73">
        <f>++IF(Tableau1[[#This Row],[Fournisseur]]="","",IF(H706-Tableau1[[#This Row],[Date Paiement Effectif]]&gt;0," ",H706-Tableau1[[#This Row],[Date Paiement Effectif]]))</f>
        <v/>
      </c>
      <c r="J706" s="92">
        <f>++IF(Tableau1[[#This Row],[Fournisseur]]="","",IF(Tableau1[[#This Row],[Date Paiement Effectif]]="","Non encore payée",IF(I706&lt;0,"Attention, paiement hors délais","OK RAS")))</f>
        <v/>
      </c>
      <c r="K706" s="74" t="n"/>
      <c r="L706" s="74" t="n"/>
      <c r="M706" s="74" t="n"/>
    </row>
    <row r="707" ht="14.25" customHeight="1">
      <c r="B707" s="80" t="n"/>
      <c r="D707" s="77" t="n"/>
      <c r="E707" s="46" t="n"/>
      <c r="F707" s="71" t="n"/>
      <c r="G707" s="91">
        <f>+IF(Tableau1[[#This Row],[Fournisseur]]="","",IFERROR(VLOOKUP(Tableau1[[#This Row],[Fournisseur]],SuiviFrs,2,FALSE),"Vérifier la syntaxe : Fournisseur introuvable au niveau du suivi des conventions"))</f>
        <v/>
      </c>
      <c r="H707" s="72">
        <f>++IF(Tableau1[[#This Row],[Fournisseur]]="","",C707+G707-1)</f>
        <v/>
      </c>
      <c r="I707" s="73">
        <f>++IF(Tableau1[[#This Row],[Fournisseur]]="","",IF(H707-Tableau1[[#This Row],[Date Paiement Effectif]]&gt;0," ",H707-Tableau1[[#This Row],[Date Paiement Effectif]]))</f>
        <v/>
      </c>
      <c r="J707" s="92">
        <f>++IF(Tableau1[[#This Row],[Fournisseur]]="","",IF(Tableau1[[#This Row],[Date Paiement Effectif]]="","Non encore payée",IF(I707&lt;0,"Attention, paiement hors délais","OK RAS")))</f>
        <v/>
      </c>
      <c r="K707" s="74" t="n"/>
      <c r="L707" s="74" t="n"/>
      <c r="M707" s="74" t="n"/>
    </row>
    <row r="708" ht="14.25" customHeight="1">
      <c r="B708" s="80" t="n"/>
      <c r="D708" s="77" t="n"/>
      <c r="E708" s="46" t="n"/>
      <c r="F708" s="71" t="n"/>
      <c r="G708" s="91">
        <f>+IF(Tableau1[[#This Row],[Fournisseur]]="","",IFERROR(VLOOKUP(Tableau1[[#This Row],[Fournisseur]],SuiviFrs,2,FALSE),"Vérifier la syntaxe : Fournisseur introuvable au niveau du suivi des conventions"))</f>
        <v/>
      </c>
      <c r="H708" s="72">
        <f>++IF(Tableau1[[#This Row],[Fournisseur]]="","",C708+G708-1)</f>
        <v/>
      </c>
      <c r="I708" s="73">
        <f>++IF(Tableau1[[#This Row],[Fournisseur]]="","",IF(H708-Tableau1[[#This Row],[Date Paiement Effectif]]&gt;0," ",H708-Tableau1[[#This Row],[Date Paiement Effectif]]))</f>
        <v/>
      </c>
      <c r="J708" s="92">
        <f>++IF(Tableau1[[#This Row],[Fournisseur]]="","",IF(Tableau1[[#This Row],[Date Paiement Effectif]]="","Non encore payée",IF(I708&lt;0,"Attention, paiement hors délais","OK RAS")))</f>
        <v/>
      </c>
      <c r="K708" s="74" t="n"/>
      <c r="L708" s="74" t="n"/>
      <c r="M708" s="74" t="n"/>
    </row>
    <row r="709" ht="14.25" customHeight="1">
      <c r="B709" s="80" t="n"/>
      <c r="D709" s="77" t="n"/>
      <c r="E709" s="46" t="n"/>
      <c r="F709" s="71" t="n"/>
      <c r="G709" s="91">
        <f>+IF(Tableau1[[#This Row],[Fournisseur]]="","",IFERROR(VLOOKUP(Tableau1[[#This Row],[Fournisseur]],SuiviFrs,2,FALSE),"Vérifier la syntaxe : Fournisseur introuvable au niveau du suivi des conventions"))</f>
        <v/>
      </c>
      <c r="H709" s="72">
        <f>++IF(Tableau1[[#This Row],[Fournisseur]]="","",C709+G709-1)</f>
        <v/>
      </c>
      <c r="I709" s="73">
        <f>++IF(Tableau1[[#This Row],[Fournisseur]]="","",IF(H709-Tableau1[[#This Row],[Date Paiement Effectif]]&gt;0," ",H709-Tableau1[[#This Row],[Date Paiement Effectif]]))</f>
        <v/>
      </c>
      <c r="J709" s="92">
        <f>++IF(Tableau1[[#This Row],[Fournisseur]]="","",IF(Tableau1[[#This Row],[Date Paiement Effectif]]="","Non encore payée",IF(I709&lt;0,"Attention, paiement hors délais","OK RAS")))</f>
        <v/>
      </c>
      <c r="K709" s="74" t="n"/>
      <c r="L709" s="74" t="n"/>
      <c r="M709" s="74" t="n"/>
    </row>
    <row r="710" ht="14.25" customHeight="1">
      <c r="B710" s="81" t="n"/>
      <c r="D710" s="77" t="n"/>
      <c r="E710" s="46" t="n"/>
      <c r="F710" s="75" t="n"/>
      <c r="G710" s="91">
        <f>+IF(Tableau1[[#This Row],[Fournisseur]]="","",IFERROR(VLOOKUP(Tableau1[[#This Row],[Fournisseur]],SuiviFrs,2,FALSE),"Vérifier la syntaxe : Fournisseur introuvable au niveau du suivi des conventions"))</f>
        <v/>
      </c>
      <c r="H710" s="72">
        <f>++IF(Tableau1[[#This Row],[Fournisseur]]="","",C710+G710-1)</f>
        <v/>
      </c>
      <c r="I710" s="73">
        <f>++IF(Tableau1[[#This Row],[Fournisseur]]="","",IF(H710-Tableau1[[#This Row],[Date Paiement Effectif]]&gt;0," ",H710-Tableau1[[#This Row],[Date Paiement Effectif]]))</f>
        <v/>
      </c>
      <c r="J710" s="92">
        <f>++IF(Tableau1[[#This Row],[Fournisseur]]="","",IF(Tableau1[[#This Row],[Date Paiement Effectif]]="","Non encore payée",IF(I710&lt;0,"Attention, paiement hors délais","OK RAS")))</f>
        <v/>
      </c>
      <c r="K710" s="76" t="n"/>
      <c r="L710" s="76" t="n"/>
      <c r="M710" s="74" t="n"/>
    </row>
    <row r="711" ht="14.25" customHeight="1">
      <c r="B711" s="81" t="n"/>
      <c r="D711" s="77" t="n"/>
      <c r="E711" s="46" t="n"/>
      <c r="F711" s="75" t="n"/>
      <c r="G711" s="91">
        <f>+IF(Tableau1[[#This Row],[Fournisseur]]="","",IFERROR(VLOOKUP(Tableau1[[#This Row],[Fournisseur]],SuiviFrs,2,FALSE),"Vérifier la syntaxe : Fournisseur introuvable au niveau du suivi des conventions"))</f>
        <v/>
      </c>
      <c r="H711" s="72">
        <f>++IF(Tableau1[[#This Row],[Fournisseur]]="","",C711+G711-1)</f>
        <v/>
      </c>
      <c r="I711" s="73">
        <f>++IF(Tableau1[[#This Row],[Fournisseur]]="","",IF(H711-Tableau1[[#This Row],[Date Paiement Effectif]]&gt;0," ",H711-Tableau1[[#This Row],[Date Paiement Effectif]]))</f>
        <v/>
      </c>
      <c r="J711" s="92">
        <f>++IF(Tableau1[[#This Row],[Fournisseur]]="","",IF(Tableau1[[#This Row],[Date Paiement Effectif]]="","Non encore payée",IF(I711&lt;0,"Attention, paiement hors délais","OK RAS")))</f>
        <v/>
      </c>
      <c r="K711" s="90" t="n">
        <v>46112</v>
      </c>
      <c r="L711" s="90" t="n"/>
      <c r="M711" s="74" t="n"/>
    </row>
    <row r="712" ht="14.25" customHeight="1">
      <c r="B712" s="80" t="n"/>
      <c r="D712" s="77" t="n"/>
      <c r="E712" s="46" t="n"/>
      <c r="F712" s="71" t="n"/>
      <c r="G712" s="91">
        <f>+IF(Tableau1[[#This Row],[Fournisseur]]="","",IFERROR(VLOOKUP(Tableau1[[#This Row],[Fournisseur]],SuiviFrs,2,FALSE),"Vérifier la syntaxe : Fournisseur introuvable au niveau du suivi des conventions"))</f>
        <v/>
      </c>
      <c r="H712" s="72">
        <f>++IF(Tableau1[[#This Row],[Fournisseur]]="","",C712+G712-1)</f>
        <v/>
      </c>
      <c r="I712" s="73">
        <f>++IF(Tableau1[[#This Row],[Fournisseur]]="","",IF(H712-Tableau1[[#This Row],[Date Paiement Effectif]]&gt;0," ",H712-Tableau1[[#This Row],[Date Paiement Effectif]]))</f>
        <v/>
      </c>
      <c r="J712" s="92">
        <f>++IF(Tableau1[[#This Row],[Fournisseur]]="","",IF(Tableau1[[#This Row],[Date Paiement Effectif]]="","Non encore payée",IF(I712&lt;0,"Attention, paiement hors délais","OK RAS")))</f>
        <v/>
      </c>
      <c r="K712" s="74" t="n"/>
      <c r="L712" s="74" t="n"/>
      <c r="M712" s="74" t="n"/>
    </row>
    <row r="713" ht="14.25" customHeight="1">
      <c r="B713" s="80" t="n"/>
      <c r="D713" s="77" t="n"/>
      <c r="E713" s="46" t="n"/>
      <c r="F713" s="71" t="n"/>
      <c r="G713" s="91">
        <f>+IF(Tableau1[[#This Row],[Fournisseur]]="","",IFERROR(VLOOKUP(Tableau1[[#This Row],[Fournisseur]],SuiviFrs,2,FALSE),"Vérifier la syntaxe : Fournisseur introuvable au niveau du suivi des conventions"))</f>
        <v/>
      </c>
      <c r="H713" s="72">
        <f>++IF(Tableau1[[#This Row],[Fournisseur]]="","",C713+G713-1)</f>
        <v/>
      </c>
      <c r="I713" s="73">
        <f>++IF(Tableau1[[#This Row],[Fournisseur]]="","",IF(H713-Tableau1[[#This Row],[Date Paiement Effectif]]&gt;0," ",H713-Tableau1[[#This Row],[Date Paiement Effectif]]))</f>
        <v/>
      </c>
      <c r="J713" s="92">
        <f>++IF(Tableau1[[#This Row],[Fournisseur]]="","",IF(Tableau1[[#This Row],[Date Paiement Effectif]]="","Non encore payée",IF(I713&lt;0,"Attention, paiement hors délais","OK RAS")))</f>
        <v/>
      </c>
      <c r="K713" s="74" t="n"/>
      <c r="L713" s="74" t="n"/>
      <c r="M713" s="74" t="n"/>
    </row>
    <row r="714" ht="14.25" customHeight="1">
      <c r="B714" s="80" t="n"/>
      <c r="D714" s="77" t="n"/>
      <c r="E714" s="46" t="n"/>
      <c r="F714" s="71" t="n"/>
      <c r="G714" s="91">
        <f>+IF(Tableau1[[#This Row],[Fournisseur]]="","",IFERROR(VLOOKUP(Tableau1[[#This Row],[Fournisseur]],SuiviFrs,2,FALSE),"Vérifier la syntaxe : Fournisseur introuvable au niveau du suivi des conventions"))</f>
        <v/>
      </c>
      <c r="H714" s="72">
        <f>++IF(Tableau1[[#This Row],[Fournisseur]]="","",C714+G714-1)</f>
        <v/>
      </c>
      <c r="I714" s="73">
        <f>++IF(Tableau1[[#This Row],[Fournisseur]]="","",IF(H714-Tableau1[[#This Row],[Date Paiement Effectif]]&gt;0," ",H714-Tableau1[[#This Row],[Date Paiement Effectif]]))</f>
        <v/>
      </c>
      <c r="J714" s="92">
        <f>++IF(Tableau1[[#This Row],[Fournisseur]]="","",IF(Tableau1[[#This Row],[Date Paiement Effectif]]="","Non encore payée",IF(I714&lt;0,"Attention, paiement hors délais","OK RAS")))</f>
        <v/>
      </c>
      <c r="K714" s="74" t="n"/>
      <c r="L714" s="74" t="n"/>
      <c r="M714" s="74" t="n"/>
    </row>
    <row r="715" ht="14.25" customHeight="1">
      <c r="B715" s="80" t="n"/>
      <c r="D715" s="77" t="n"/>
      <c r="E715" s="46" t="n"/>
      <c r="F715" s="71" t="n"/>
      <c r="G715" s="91">
        <f>+IF(Tableau1[[#This Row],[Fournisseur]]="","",IFERROR(VLOOKUP(Tableau1[[#This Row],[Fournisseur]],SuiviFrs,2,FALSE),"Vérifier la syntaxe : Fournisseur introuvable au niveau du suivi des conventions"))</f>
        <v/>
      </c>
      <c r="H715" s="72">
        <f>++IF(Tableau1[[#This Row],[Fournisseur]]="","",C715+G715-1)</f>
        <v/>
      </c>
      <c r="I715" s="73">
        <f>++IF(Tableau1[[#This Row],[Fournisseur]]="","",IF(H715-Tableau1[[#This Row],[Date Paiement Effectif]]&gt;0," ",H715-Tableau1[[#This Row],[Date Paiement Effectif]]))</f>
        <v/>
      </c>
      <c r="J715" s="92">
        <f>++IF(Tableau1[[#This Row],[Fournisseur]]="","",IF(Tableau1[[#This Row],[Date Paiement Effectif]]="","Non encore payée",IF(I715&lt;0,"Attention, paiement hors délais","OK RAS")))</f>
        <v/>
      </c>
      <c r="K715" s="74" t="n"/>
      <c r="L715" s="74" t="n"/>
      <c r="M715" s="74" t="n"/>
    </row>
    <row r="716" ht="14.25" customHeight="1">
      <c r="B716" s="80" t="n"/>
      <c r="D716" s="77" t="n"/>
      <c r="E716" s="46" t="n"/>
      <c r="F716" s="71" t="n"/>
      <c r="G716" s="91">
        <f>+IF(Tableau1[[#This Row],[Fournisseur]]="","",IFERROR(VLOOKUP(Tableau1[[#This Row],[Fournisseur]],SuiviFrs,2,FALSE),"Vérifier la syntaxe : Fournisseur introuvable au niveau du suivi des conventions"))</f>
        <v/>
      </c>
      <c r="H716" s="72">
        <f>++IF(Tableau1[[#This Row],[Fournisseur]]="","",C716+G716-1)</f>
        <v/>
      </c>
      <c r="I716" s="73">
        <f>++IF(Tableau1[[#This Row],[Fournisseur]]="","",IF(H716-Tableau1[[#This Row],[Date Paiement Effectif]]&gt;0," ",H716-Tableau1[[#This Row],[Date Paiement Effectif]]))</f>
        <v/>
      </c>
      <c r="J716" s="92">
        <f>++IF(Tableau1[[#This Row],[Fournisseur]]="","",IF(Tableau1[[#This Row],[Date Paiement Effectif]]="","Non encore payée",IF(I716&lt;0,"Attention, paiement hors délais","OK RAS")))</f>
        <v/>
      </c>
      <c r="K716" s="74" t="n"/>
      <c r="L716" s="74" t="n"/>
      <c r="M716" s="74" t="n"/>
    </row>
    <row r="717" ht="14.25" customHeight="1">
      <c r="B717" s="81" t="n"/>
      <c r="D717" s="77" t="n"/>
      <c r="E717" s="46" t="n"/>
      <c r="F717" s="75" t="n"/>
      <c r="G717" s="91">
        <f>+IF(Tableau1[[#This Row],[Fournisseur]]="","",IFERROR(VLOOKUP(Tableau1[[#This Row],[Fournisseur]],SuiviFrs,2,FALSE),"Vérifier la syntaxe : Fournisseur introuvable au niveau du suivi des conventions"))</f>
        <v/>
      </c>
      <c r="H717" s="72">
        <f>++IF(Tableau1[[#This Row],[Fournisseur]]="","",C717+G717-1)</f>
        <v/>
      </c>
      <c r="I717" s="73">
        <f>++IF(Tableau1[[#This Row],[Fournisseur]]="","",IF(H717-Tableau1[[#This Row],[Date Paiement Effectif]]&gt;0," ",H717-Tableau1[[#This Row],[Date Paiement Effectif]]))</f>
        <v/>
      </c>
      <c r="J717" s="92">
        <f>++IF(Tableau1[[#This Row],[Fournisseur]]="","",IF(Tableau1[[#This Row],[Date Paiement Effectif]]="","Non encore payée",IF(I717&lt;0,"Attention, paiement hors délais","OK RAS")))</f>
        <v/>
      </c>
      <c r="K717" s="76" t="n"/>
      <c r="L717" s="76" t="n"/>
      <c r="M717" s="74" t="n"/>
    </row>
    <row r="718" ht="14.25" customHeight="1">
      <c r="B718" s="81" t="n"/>
      <c r="D718" s="77" t="n"/>
      <c r="E718" s="46" t="n"/>
      <c r="F718" s="75" t="n"/>
      <c r="G718" s="91">
        <f>+IF(Tableau1[[#This Row],[Fournisseur]]="","",IFERROR(VLOOKUP(Tableau1[[#This Row],[Fournisseur]],SuiviFrs,2,FALSE),"Vérifier la syntaxe : Fournisseur introuvable au niveau du suivi des conventions"))</f>
        <v/>
      </c>
      <c r="H718" s="72">
        <f>++IF(Tableau1[[#This Row],[Fournisseur]]="","",C718+G718-1)</f>
        <v/>
      </c>
      <c r="I718" s="73">
        <f>++IF(Tableau1[[#This Row],[Fournisseur]]="","",IF(H718-Tableau1[[#This Row],[Date Paiement Effectif]]&gt;0," ",H718-Tableau1[[#This Row],[Date Paiement Effectif]]))</f>
        <v/>
      </c>
      <c r="J718" s="92">
        <f>++IF(Tableau1[[#This Row],[Fournisseur]]="","",IF(Tableau1[[#This Row],[Date Paiement Effectif]]="","Non encore payée",IF(I718&lt;0,"Attention, paiement hors délais","OK RAS")))</f>
        <v/>
      </c>
      <c r="K718" s="76" t="n"/>
      <c r="L718" s="76" t="n"/>
      <c r="M718" s="74" t="n"/>
    </row>
    <row r="719" ht="14.25" customHeight="1">
      <c r="B719" s="80" t="n"/>
      <c r="D719" s="77" t="n"/>
      <c r="E719" s="46" t="n"/>
      <c r="F719" s="71" t="n"/>
      <c r="G719" s="91">
        <f>+IF(Tableau1[[#This Row],[Fournisseur]]="","",IFERROR(VLOOKUP(Tableau1[[#This Row],[Fournisseur]],SuiviFrs,2,FALSE),"Vérifier la syntaxe : Fournisseur introuvable au niveau du suivi des conventions"))</f>
        <v/>
      </c>
      <c r="H719" s="72">
        <f>++IF(Tableau1[[#This Row],[Fournisseur]]="","",C719+G719-1)</f>
        <v/>
      </c>
      <c r="I719" s="73">
        <f>++IF(Tableau1[[#This Row],[Fournisseur]]="","",IF(H719-Tableau1[[#This Row],[Date Paiement Effectif]]&gt;0," ",H719-Tableau1[[#This Row],[Date Paiement Effectif]]))</f>
        <v/>
      </c>
      <c r="J719" s="92">
        <f>++IF(Tableau1[[#This Row],[Fournisseur]]="","",IF(Tableau1[[#This Row],[Date Paiement Effectif]]="","Non encore payée",IF(I719&lt;0,"Attention, paiement hors délais","OK RAS")))</f>
        <v/>
      </c>
      <c r="K719" s="89" t="n">
        <v>46048</v>
      </c>
      <c r="L719" s="89" t="n"/>
      <c r="M719" s="74" t="n"/>
    </row>
    <row r="720" ht="14.25" customHeight="1">
      <c r="B720" s="80" t="n"/>
      <c r="D720" s="77" t="n"/>
      <c r="E720" s="46" t="n"/>
      <c r="F720" s="71" t="n"/>
      <c r="G720" s="91">
        <f>+IF(Tableau1[[#This Row],[Fournisseur]]="","",IFERROR(VLOOKUP(Tableau1[[#This Row],[Fournisseur]],SuiviFrs,2,FALSE),"Vérifier la syntaxe : Fournisseur introuvable au niveau du suivi des conventions"))</f>
        <v/>
      </c>
      <c r="H720" s="72">
        <f>++IF(Tableau1[[#This Row],[Fournisseur]]="","",C720+G720-1)</f>
        <v/>
      </c>
      <c r="I720" s="73">
        <f>++IF(Tableau1[[#This Row],[Fournisseur]]="","",IF(H720-Tableau1[[#This Row],[Date Paiement Effectif]]&gt;0," ",H720-Tableau1[[#This Row],[Date Paiement Effectif]]))</f>
        <v/>
      </c>
      <c r="J720" s="92">
        <f>++IF(Tableau1[[#This Row],[Fournisseur]]="","",IF(Tableau1[[#This Row],[Date Paiement Effectif]]="","Non encore payée",IF(I720&lt;0,"Attention, paiement hors délais","OK RAS")))</f>
        <v/>
      </c>
      <c r="K720" s="89" t="n">
        <v>46042</v>
      </c>
      <c r="L720" s="89" t="n"/>
      <c r="M720" s="74" t="n"/>
    </row>
    <row r="721" ht="14.25" customHeight="1">
      <c r="B721" s="80" t="n"/>
      <c r="D721" s="77" t="n"/>
      <c r="E721" s="46" t="n"/>
      <c r="F721" s="71" t="n"/>
      <c r="G721" s="91">
        <f>+IF(Tableau1[[#This Row],[Fournisseur]]="","",IFERROR(VLOOKUP(Tableau1[[#This Row],[Fournisseur]],SuiviFrs,2,FALSE),"Vérifier la syntaxe : Fournisseur introuvable au niveau du suivi des conventions"))</f>
        <v/>
      </c>
      <c r="H721" s="72">
        <f>++IF(Tableau1[[#This Row],[Fournisseur]]="","",C721+G721-1)</f>
        <v/>
      </c>
      <c r="I721" s="73">
        <f>++IF(Tableau1[[#This Row],[Fournisseur]]="","",IF(H721-Tableau1[[#This Row],[Date Paiement Effectif]]&gt;0," ",H721-Tableau1[[#This Row],[Date Paiement Effectif]]))</f>
        <v/>
      </c>
      <c r="J721" s="92">
        <f>++IF(Tableau1[[#This Row],[Fournisseur]]="","",IF(Tableau1[[#This Row],[Date Paiement Effectif]]="","Non encore payée",IF(I721&lt;0,"Attention, paiement hors délais","OK RAS")))</f>
        <v/>
      </c>
      <c r="K721" s="89" t="n">
        <v>46042</v>
      </c>
      <c r="L721" s="89" t="n"/>
      <c r="M721" s="74" t="n"/>
    </row>
    <row r="722" ht="14.25" customHeight="1">
      <c r="B722" s="80" t="n"/>
      <c r="D722" s="77" t="n"/>
      <c r="E722" s="46" t="n"/>
      <c r="F722" s="71" t="n"/>
      <c r="G722" s="91">
        <f>+IF(Tableau1[[#This Row],[Fournisseur]]="","",IFERROR(VLOOKUP(Tableau1[[#This Row],[Fournisseur]],SuiviFrs,2,FALSE),"Vérifier la syntaxe : Fournisseur introuvable au niveau du suivi des conventions"))</f>
        <v/>
      </c>
      <c r="H722" s="72">
        <f>++IF(Tableau1[[#This Row],[Fournisseur]]="","",C722+G722-1)</f>
        <v/>
      </c>
      <c r="I722" s="73">
        <f>++IF(Tableau1[[#This Row],[Fournisseur]]="","",IF(H722-Tableau1[[#This Row],[Date Paiement Effectif]]&gt;0," ",H722-Tableau1[[#This Row],[Date Paiement Effectif]]))</f>
        <v/>
      </c>
      <c r="J722" s="92">
        <f>++IF(Tableau1[[#This Row],[Fournisseur]]="","",IF(Tableau1[[#This Row],[Date Paiement Effectif]]="","Non encore payée",IF(I722&lt;0,"Attention, paiement hors délais","OK RAS")))</f>
        <v/>
      </c>
      <c r="K722" s="89" t="n">
        <v>46042</v>
      </c>
      <c r="L722" s="89" t="n"/>
      <c r="M722" s="74" t="n"/>
    </row>
    <row r="723" ht="14.25" customHeight="1">
      <c r="B723" s="80" t="n"/>
      <c r="D723" s="77" t="n"/>
      <c r="E723" s="46" t="n"/>
      <c r="F723" s="71" t="n"/>
      <c r="G723" s="91">
        <f>+IF(Tableau1[[#This Row],[Fournisseur]]="","",IFERROR(VLOOKUP(Tableau1[[#This Row],[Fournisseur]],SuiviFrs,2,FALSE),"Vérifier la syntaxe : Fournisseur introuvable au niveau du suivi des conventions"))</f>
        <v/>
      </c>
      <c r="H723" s="72">
        <f>++IF(Tableau1[[#This Row],[Fournisseur]]="","",C723+G723-1)</f>
        <v/>
      </c>
      <c r="I723" s="73">
        <f>++IF(Tableau1[[#This Row],[Fournisseur]]="","",IF(H723-Tableau1[[#This Row],[Date Paiement Effectif]]&gt;0," ",H723-Tableau1[[#This Row],[Date Paiement Effectif]]))</f>
        <v/>
      </c>
      <c r="J723" s="92">
        <f>++IF(Tableau1[[#This Row],[Fournisseur]]="","",IF(Tableau1[[#This Row],[Date Paiement Effectif]]="","Non encore payée",IF(I723&lt;0,"Attention, paiement hors délais","OK RAS")))</f>
        <v/>
      </c>
      <c r="K723" s="89" t="n">
        <v>46042</v>
      </c>
      <c r="L723" s="89" t="n"/>
      <c r="M723" s="74" t="n"/>
    </row>
    <row r="724" ht="14.25" customHeight="1">
      <c r="B724" s="80" t="n"/>
      <c r="D724" s="77" t="n"/>
      <c r="E724" s="46" t="n"/>
      <c r="F724" s="71" t="n"/>
      <c r="G724" s="91">
        <f>+IF(Tableau1[[#This Row],[Fournisseur]]="","",IFERROR(VLOOKUP(Tableau1[[#This Row],[Fournisseur]],SuiviFrs,2,FALSE),"Vérifier la syntaxe : Fournisseur introuvable au niveau du suivi des conventions"))</f>
        <v/>
      </c>
      <c r="H724" s="72">
        <f>++IF(Tableau1[[#This Row],[Fournisseur]]="","",C724+G724-1)</f>
        <v/>
      </c>
      <c r="I724" s="73">
        <f>++IF(Tableau1[[#This Row],[Fournisseur]]="","",IF(H724-Tableau1[[#This Row],[Date Paiement Effectif]]&gt;0," ",H724-Tableau1[[#This Row],[Date Paiement Effectif]]))</f>
        <v/>
      </c>
      <c r="J724" s="92">
        <f>++IF(Tableau1[[#This Row],[Fournisseur]]="","",IF(Tableau1[[#This Row],[Date Paiement Effectif]]="","Non encore payée",IF(I724&lt;0,"Attention, paiement hors délais","OK RAS")))</f>
        <v/>
      </c>
      <c r="K724" s="89" t="n">
        <v>46098</v>
      </c>
      <c r="L724" s="89" t="n"/>
      <c r="M724" s="74" t="n"/>
    </row>
    <row r="725" ht="14.25" customHeight="1">
      <c r="B725" s="80" t="n"/>
      <c r="D725" s="77" t="n"/>
      <c r="E725" s="46" t="n"/>
      <c r="F725" s="71" t="n"/>
      <c r="G725" s="91">
        <f>+IF(Tableau1[[#This Row],[Fournisseur]]="","",IFERROR(VLOOKUP(Tableau1[[#This Row],[Fournisseur]],SuiviFrs,2,FALSE),"Vérifier la syntaxe : Fournisseur introuvable au niveau du suivi des conventions"))</f>
        <v/>
      </c>
      <c r="H725" s="72">
        <f>++IF(Tableau1[[#This Row],[Fournisseur]]="","",C725+G725-1)</f>
        <v/>
      </c>
      <c r="I725" s="73">
        <f>++IF(Tableau1[[#This Row],[Fournisseur]]="","",IF(H725-Tableau1[[#This Row],[Date Paiement Effectif]]&gt;0," ",H725-Tableau1[[#This Row],[Date Paiement Effectif]]))</f>
        <v/>
      </c>
      <c r="J725" s="92">
        <f>++IF(Tableau1[[#This Row],[Fournisseur]]="","",IF(Tableau1[[#This Row],[Date Paiement Effectif]]="","Non encore payée",IF(I725&lt;0,"Attention, paiement hors délais","OK RAS")))</f>
        <v/>
      </c>
      <c r="K725" s="74" t="n"/>
      <c r="L725" s="74" t="n"/>
      <c r="M725" s="74" t="n"/>
    </row>
    <row r="726" ht="14.25" customHeight="1">
      <c r="B726" s="80" t="n"/>
      <c r="D726" s="77" t="n"/>
      <c r="E726" s="46" t="n"/>
      <c r="F726" s="71" t="n"/>
      <c r="G726" s="91">
        <f>+IF(Tableau1[[#This Row],[Fournisseur]]="","",IFERROR(VLOOKUP(Tableau1[[#This Row],[Fournisseur]],SuiviFrs,2,FALSE),"Vérifier la syntaxe : Fournisseur introuvable au niveau du suivi des conventions"))</f>
        <v/>
      </c>
      <c r="H726" s="72">
        <f>++IF(Tableau1[[#This Row],[Fournisseur]]="","",C726+G726-1)</f>
        <v/>
      </c>
      <c r="I726" s="73">
        <f>++IF(Tableau1[[#This Row],[Fournisseur]]="","",IF(H726-Tableau1[[#This Row],[Date Paiement Effectif]]&gt;0," ",H726-Tableau1[[#This Row],[Date Paiement Effectif]]))</f>
        <v/>
      </c>
      <c r="J726" s="92">
        <f>++IF(Tableau1[[#This Row],[Fournisseur]]="","",IF(Tableau1[[#This Row],[Date Paiement Effectif]]="","Non encore payée",IF(I726&lt;0,"Attention, paiement hors délais","OK RAS")))</f>
        <v/>
      </c>
      <c r="K726" s="74" t="n"/>
      <c r="L726" s="74" t="n"/>
      <c r="M726" s="74" t="n"/>
    </row>
    <row r="727" ht="14.25" customHeight="1">
      <c r="B727" s="80" t="n"/>
      <c r="D727" s="77" t="n"/>
      <c r="E727" s="46" t="n"/>
      <c r="F727" s="71" t="n"/>
      <c r="G727" s="91">
        <f>+IF(Tableau1[[#This Row],[Fournisseur]]="","",IFERROR(VLOOKUP(Tableau1[[#This Row],[Fournisseur]],SuiviFrs,2,FALSE),"Vérifier la syntaxe : Fournisseur introuvable au niveau du suivi des conventions"))</f>
        <v/>
      </c>
      <c r="H727" s="72">
        <f>++IF(Tableau1[[#This Row],[Fournisseur]]="","",C727+G727-1)</f>
        <v/>
      </c>
      <c r="I727" s="73">
        <f>++IF(Tableau1[[#This Row],[Fournisseur]]="","",IF(H727-Tableau1[[#This Row],[Date Paiement Effectif]]&gt;0," ",H727-Tableau1[[#This Row],[Date Paiement Effectif]]))</f>
        <v/>
      </c>
      <c r="J727" s="92">
        <f>++IF(Tableau1[[#This Row],[Fournisseur]]="","",IF(Tableau1[[#This Row],[Date Paiement Effectif]]="","Non encore payée",IF(I727&lt;0,"Attention, paiement hors délais","OK RAS")))</f>
        <v/>
      </c>
      <c r="K727" s="74" t="n"/>
      <c r="L727" s="74" t="n"/>
      <c r="M727" s="74" t="n"/>
    </row>
    <row r="728" ht="14.25" customHeight="1">
      <c r="B728" s="80" t="n"/>
      <c r="D728" s="77" t="n"/>
      <c r="E728" s="46" t="n"/>
      <c r="F728" s="71" t="n"/>
      <c r="G728" s="91">
        <f>+IF(Tableau1[[#This Row],[Fournisseur]]="","",IFERROR(VLOOKUP(Tableau1[[#This Row],[Fournisseur]],SuiviFrs,2,FALSE),"Vérifier la syntaxe : Fournisseur introuvable au niveau du suivi des conventions"))</f>
        <v/>
      </c>
      <c r="H728" s="72">
        <f>++IF(Tableau1[[#This Row],[Fournisseur]]="","",C728+G728-1)</f>
        <v/>
      </c>
      <c r="I728" s="73">
        <f>++IF(Tableau1[[#This Row],[Fournisseur]]="","",IF(H728-Tableau1[[#This Row],[Date Paiement Effectif]]&gt;0," ",H728-Tableau1[[#This Row],[Date Paiement Effectif]]))</f>
        <v/>
      </c>
      <c r="J728" s="92">
        <f>++IF(Tableau1[[#This Row],[Fournisseur]]="","",IF(Tableau1[[#This Row],[Date Paiement Effectif]]="","Non encore payée",IF(I728&lt;0,"Attention, paiement hors délais","OK RAS")))</f>
        <v/>
      </c>
      <c r="K728" s="74" t="n"/>
      <c r="L728" s="74" t="n"/>
      <c r="M728" s="74" t="n"/>
    </row>
    <row r="729" ht="14.25" customHeight="1">
      <c r="B729" s="80" t="n"/>
      <c r="D729" s="77" t="n"/>
      <c r="E729" s="46" t="n"/>
      <c r="F729" s="71" t="n"/>
      <c r="G729" s="91">
        <f>+IF(Tableau1[[#This Row],[Fournisseur]]="","",IFERROR(VLOOKUP(Tableau1[[#This Row],[Fournisseur]],SuiviFrs,2,FALSE),"Vérifier la syntaxe : Fournisseur introuvable au niveau du suivi des conventions"))</f>
        <v/>
      </c>
      <c r="H729" s="72">
        <f>++IF(Tableau1[[#This Row],[Fournisseur]]="","",C729+G729-1)</f>
        <v/>
      </c>
      <c r="I729" s="73">
        <f>++IF(Tableau1[[#This Row],[Fournisseur]]="","",IF(H729-Tableau1[[#This Row],[Date Paiement Effectif]]&gt;0," ",H729-Tableau1[[#This Row],[Date Paiement Effectif]]))</f>
        <v/>
      </c>
      <c r="J729" s="92">
        <f>++IF(Tableau1[[#This Row],[Fournisseur]]="","",IF(Tableau1[[#This Row],[Date Paiement Effectif]]="","Non encore payée",IF(I729&lt;0,"Attention, paiement hors délais","OK RAS")))</f>
        <v/>
      </c>
      <c r="K729" s="74" t="n"/>
      <c r="L729" s="74" t="n"/>
      <c r="M729" s="74" t="n"/>
    </row>
    <row r="730" ht="14.25" customHeight="1">
      <c r="B730" s="80" t="n"/>
      <c r="D730" s="77" t="n"/>
      <c r="E730" s="46" t="n"/>
      <c r="F730" s="71" t="n"/>
      <c r="G730" s="91">
        <f>+IF(Tableau1[[#This Row],[Fournisseur]]="","",IFERROR(VLOOKUP(Tableau1[[#This Row],[Fournisseur]],SuiviFrs,2,FALSE),"Vérifier la syntaxe : Fournisseur introuvable au niveau du suivi des conventions"))</f>
        <v/>
      </c>
      <c r="H730" s="72">
        <f>++IF(Tableau1[[#This Row],[Fournisseur]]="","",C730+G730-1)</f>
        <v/>
      </c>
      <c r="I730" s="73">
        <f>++IF(Tableau1[[#This Row],[Fournisseur]]="","",IF(H730-Tableau1[[#This Row],[Date Paiement Effectif]]&gt;0," ",H730-Tableau1[[#This Row],[Date Paiement Effectif]]))</f>
        <v/>
      </c>
      <c r="J730" s="92">
        <f>++IF(Tableau1[[#This Row],[Fournisseur]]="","",IF(Tableau1[[#This Row],[Date Paiement Effectif]]="","Non encore payée",IF(I730&lt;0,"Attention, paiement hors délais","OK RAS")))</f>
        <v/>
      </c>
      <c r="K730" s="74" t="n"/>
      <c r="L730" s="74" t="n"/>
      <c r="M730" s="74" t="n"/>
    </row>
    <row r="731" ht="14.25" customHeight="1">
      <c r="B731" s="80" t="n"/>
      <c r="D731" s="77" t="n"/>
      <c r="E731" s="46" t="n"/>
      <c r="F731" s="71" t="n"/>
      <c r="G731" s="91">
        <f>+IF(Tableau1[[#This Row],[Fournisseur]]="","",IFERROR(VLOOKUP(Tableau1[[#This Row],[Fournisseur]],SuiviFrs,2,FALSE),"Vérifier la syntaxe : Fournisseur introuvable au niveau du suivi des conventions"))</f>
        <v/>
      </c>
      <c r="H731" s="72">
        <f>++IF(Tableau1[[#This Row],[Fournisseur]]="","",C731+G731-1)</f>
        <v/>
      </c>
      <c r="I731" s="73">
        <f>++IF(Tableau1[[#This Row],[Fournisseur]]="","",IF(H731-Tableau1[[#This Row],[Date Paiement Effectif]]&gt;0," ",H731-Tableau1[[#This Row],[Date Paiement Effectif]]))</f>
        <v/>
      </c>
      <c r="J731" s="92">
        <f>++IF(Tableau1[[#This Row],[Fournisseur]]="","",IF(Tableau1[[#This Row],[Date Paiement Effectif]]="","Non encore payée",IF(I731&lt;0,"Attention, paiement hors délais","OK RAS")))</f>
        <v/>
      </c>
      <c r="K731" s="74" t="n"/>
      <c r="L731" s="74" t="n"/>
      <c r="M731" s="74" t="n"/>
    </row>
    <row r="732" ht="14.25" customHeight="1">
      <c r="B732" s="80" t="n"/>
      <c r="D732" s="77" t="n"/>
      <c r="E732" s="46" t="n"/>
      <c r="F732" s="71" t="n"/>
      <c r="G732" s="91">
        <f>+IF(Tableau1[[#This Row],[Fournisseur]]="","",IFERROR(VLOOKUP(Tableau1[[#This Row],[Fournisseur]],SuiviFrs,2,FALSE),"Vérifier la syntaxe : Fournisseur introuvable au niveau du suivi des conventions"))</f>
        <v/>
      </c>
      <c r="H732" s="72">
        <f>++IF(Tableau1[[#This Row],[Fournisseur]]="","",C732+G732-1)</f>
        <v/>
      </c>
      <c r="I732" s="73">
        <f>++IF(Tableau1[[#This Row],[Fournisseur]]="","",IF(H732-Tableau1[[#This Row],[Date Paiement Effectif]]&gt;0," ",H732-Tableau1[[#This Row],[Date Paiement Effectif]]))</f>
        <v/>
      </c>
      <c r="J732" s="92">
        <f>++IF(Tableau1[[#This Row],[Fournisseur]]="","",IF(Tableau1[[#This Row],[Date Paiement Effectif]]="","Non encore payée",IF(I732&lt;0,"Attention, paiement hors délais","OK RAS")))</f>
        <v/>
      </c>
      <c r="K732" s="74" t="n"/>
      <c r="L732" s="74" t="n"/>
      <c r="M732" s="74" t="n"/>
    </row>
    <row r="733" ht="14.25" customHeight="1">
      <c r="B733" s="80" t="n"/>
      <c r="D733" s="77" t="n"/>
      <c r="E733" s="46" t="n"/>
      <c r="F733" s="71" t="n"/>
      <c r="G733" s="91">
        <f>+IF(Tableau1[[#This Row],[Fournisseur]]="","",IFERROR(VLOOKUP(Tableau1[[#This Row],[Fournisseur]],SuiviFrs,2,FALSE),"Vérifier la syntaxe : Fournisseur introuvable au niveau du suivi des conventions"))</f>
        <v/>
      </c>
      <c r="H733" s="72">
        <f>++IF(Tableau1[[#This Row],[Fournisseur]]="","",C733+G733-1)</f>
        <v/>
      </c>
      <c r="I733" s="73">
        <f>++IF(Tableau1[[#This Row],[Fournisseur]]="","",IF(H733-Tableau1[[#This Row],[Date Paiement Effectif]]&gt;0," ",H733-Tableau1[[#This Row],[Date Paiement Effectif]]))</f>
        <v/>
      </c>
      <c r="J733" s="92">
        <f>++IF(Tableau1[[#This Row],[Fournisseur]]="","",IF(Tableau1[[#This Row],[Date Paiement Effectif]]="","Non encore payée",IF(I733&lt;0,"Attention, paiement hors délais","OK RAS")))</f>
        <v/>
      </c>
      <c r="K733" s="74" t="n"/>
      <c r="L733" s="74" t="n"/>
      <c r="M733" s="74" t="n"/>
    </row>
    <row r="734" ht="14.25" customHeight="1">
      <c r="B734" s="80" t="n"/>
      <c r="D734" s="77" t="n"/>
      <c r="E734" s="46" t="n"/>
      <c r="F734" s="71" t="n"/>
      <c r="G734" s="91">
        <f>+IF(Tableau1[[#This Row],[Fournisseur]]="","",IFERROR(VLOOKUP(Tableau1[[#This Row],[Fournisseur]],SuiviFrs,2,FALSE),"Vérifier la syntaxe : Fournisseur introuvable au niveau du suivi des conventions"))</f>
        <v/>
      </c>
      <c r="H734" s="72">
        <f>++IF(Tableau1[[#This Row],[Fournisseur]]="","",C734+G734-1)</f>
        <v/>
      </c>
      <c r="I734" s="73">
        <f>++IF(Tableau1[[#This Row],[Fournisseur]]="","",IF(H734-Tableau1[[#This Row],[Date Paiement Effectif]]&gt;0," ",H734-Tableau1[[#This Row],[Date Paiement Effectif]]))</f>
        <v/>
      </c>
      <c r="J734" s="92">
        <f>++IF(Tableau1[[#This Row],[Fournisseur]]="","",IF(Tableau1[[#This Row],[Date Paiement Effectif]]="","Non encore payée",IF(I734&lt;0,"Attention, paiement hors délais","OK RAS")))</f>
        <v/>
      </c>
      <c r="K734" s="74" t="n"/>
      <c r="L734" s="74" t="n"/>
      <c r="M734" s="74" t="n"/>
    </row>
    <row r="735" ht="14.25" customHeight="1">
      <c r="B735" s="80" t="n"/>
      <c r="D735" s="77" t="n"/>
      <c r="E735" s="46" t="n"/>
      <c r="F735" s="71" t="n"/>
      <c r="G735" s="91">
        <f>+IF(Tableau1[[#This Row],[Fournisseur]]="","",IFERROR(VLOOKUP(Tableau1[[#This Row],[Fournisseur]],SuiviFrs,2,FALSE),"Vérifier la syntaxe : Fournisseur introuvable au niveau du suivi des conventions"))</f>
        <v/>
      </c>
      <c r="H735" s="72">
        <f>++IF(Tableau1[[#This Row],[Fournisseur]]="","",C735+G735-1)</f>
        <v/>
      </c>
      <c r="I735" s="73">
        <f>++IF(Tableau1[[#This Row],[Fournisseur]]="","",IF(H735-Tableau1[[#This Row],[Date Paiement Effectif]]&gt;0," ",H735-Tableau1[[#This Row],[Date Paiement Effectif]]))</f>
        <v/>
      </c>
      <c r="J735" s="92">
        <f>++IF(Tableau1[[#This Row],[Fournisseur]]="","",IF(Tableau1[[#This Row],[Date Paiement Effectif]]="","Non encore payée",IF(I735&lt;0,"Attention, paiement hors délais","OK RAS")))</f>
        <v/>
      </c>
      <c r="K735" s="74" t="n"/>
      <c r="L735" s="74" t="n"/>
      <c r="M735" s="74" t="n"/>
    </row>
    <row r="736" ht="14.25" customHeight="1">
      <c r="B736" s="80" t="n"/>
      <c r="D736" s="77" t="n"/>
      <c r="E736" s="46" t="n"/>
      <c r="F736" s="71" t="n"/>
      <c r="G736" s="91">
        <f>+IF(Tableau1[[#This Row],[Fournisseur]]="","",IFERROR(VLOOKUP(Tableau1[[#This Row],[Fournisseur]],SuiviFrs,2,FALSE),"Vérifier la syntaxe : Fournisseur introuvable au niveau du suivi des conventions"))</f>
        <v/>
      </c>
      <c r="H736" s="72">
        <f>++IF(Tableau1[[#This Row],[Fournisseur]]="","",C736+G736-1)</f>
        <v/>
      </c>
      <c r="I736" s="73">
        <f>++IF(Tableau1[[#This Row],[Fournisseur]]="","",IF(H736-Tableau1[[#This Row],[Date Paiement Effectif]]&gt;0," ",H736-Tableau1[[#This Row],[Date Paiement Effectif]]))</f>
        <v/>
      </c>
      <c r="J736" s="92">
        <f>++IF(Tableau1[[#This Row],[Fournisseur]]="","",IF(Tableau1[[#This Row],[Date Paiement Effectif]]="","Non encore payée",IF(I736&lt;0,"Attention, paiement hors délais","OK RAS")))</f>
        <v/>
      </c>
      <c r="K736" s="74" t="n"/>
      <c r="L736" s="74" t="n"/>
      <c r="M736" s="74" t="n"/>
    </row>
    <row r="737" ht="14.25" customHeight="1">
      <c r="B737" s="80" t="n"/>
      <c r="D737" s="77" t="n"/>
      <c r="E737" s="46" t="n"/>
      <c r="F737" s="71" t="n"/>
      <c r="G737" s="91">
        <f>+IF(Tableau1[[#This Row],[Fournisseur]]="","",IFERROR(VLOOKUP(Tableau1[[#This Row],[Fournisseur]],SuiviFrs,2,FALSE),"Vérifier la syntaxe : Fournisseur introuvable au niveau du suivi des conventions"))</f>
        <v/>
      </c>
      <c r="H737" s="72">
        <f>++IF(Tableau1[[#This Row],[Fournisseur]]="","",C737+G737-1)</f>
        <v/>
      </c>
      <c r="I737" s="73">
        <f>++IF(Tableau1[[#This Row],[Fournisseur]]="","",IF(H737-Tableau1[[#This Row],[Date Paiement Effectif]]&gt;0," ",H737-Tableau1[[#This Row],[Date Paiement Effectif]]))</f>
        <v/>
      </c>
      <c r="J737" s="92">
        <f>++IF(Tableau1[[#This Row],[Fournisseur]]="","",IF(Tableau1[[#This Row],[Date Paiement Effectif]]="","Non encore payée",IF(I737&lt;0,"Attention, paiement hors délais","OK RAS")))</f>
        <v/>
      </c>
      <c r="K737" s="74" t="n"/>
      <c r="L737" s="74" t="n"/>
      <c r="M737" s="74" t="n"/>
    </row>
    <row r="738" ht="14.25" customHeight="1">
      <c r="B738" s="80" t="n"/>
      <c r="D738" s="77" t="n"/>
      <c r="E738" s="46" t="n"/>
      <c r="F738" s="71" t="n"/>
      <c r="G738" s="91">
        <f>+IF(Tableau1[[#This Row],[Fournisseur]]="","",IFERROR(VLOOKUP(Tableau1[[#This Row],[Fournisseur]],SuiviFrs,2,FALSE),"Vérifier la syntaxe : Fournisseur introuvable au niveau du suivi des conventions"))</f>
        <v/>
      </c>
      <c r="H738" s="72">
        <f>++IF(Tableau1[[#This Row],[Fournisseur]]="","",C738+G738-1)</f>
        <v/>
      </c>
      <c r="I738" s="73">
        <f>++IF(Tableau1[[#This Row],[Fournisseur]]="","",IF(H738-Tableau1[[#This Row],[Date Paiement Effectif]]&gt;0," ",H738-Tableau1[[#This Row],[Date Paiement Effectif]]))</f>
        <v/>
      </c>
      <c r="J738" s="92">
        <f>++IF(Tableau1[[#This Row],[Fournisseur]]="","",IF(Tableau1[[#This Row],[Date Paiement Effectif]]="","Non encore payée",IF(I738&lt;0,"Attention, paiement hors délais","OK RAS")))</f>
        <v/>
      </c>
      <c r="K738" s="74" t="n"/>
      <c r="L738" s="74" t="n"/>
      <c r="M738" s="74" t="n"/>
    </row>
    <row r="739" ht="14.25" customHeight="1">
      <c r="B739" s="80" t="n"/>
      <c r="D739" s="77" t="n"/>
      <c r="E739" s="46" t="n"/>
      <c r="F739" s="71" t="n"/>
      <c r="G739" s="91">
        <f>+IF(Tableau1[[#This Row],[Fournisseur]]="","",IFERROR(VLOOKUP(Tableau1[[#This Row],[Fournisseur]],SuiviFrs,2,FALSE),"Vérifier la syntaxe : Fournisseur introuvable au niveau du suivi des conventions"))</f>
        <v/>
      </c>
      <c r="H739" s="72">
        <f>++IF(Tableau1[[#This Row],[Fournisseur]]="","",C739+G739-1)</f>
        <v/>
      </c>
      <c r="I739" s="73">
        <f>++IF(Tableau1[[#This Row],[Fournisseur]]="","",IF(H739-Tableau1[[#This Row],[Date Paiement Effectif]]&gt;0," ",H739-Tableau1[[#This Row],[Date Paiement Effectif]]))</f>
        <v/>
      </c>
      <c r="J739" s="92">
        <f>++IF(Tableau1[[#This Row],[Fournisseur]]="","",IF(Tableau1[[#This Row],[Date Paiement Effectif]]="","Non encore payée",IF(I739&lt;0,"Attention, paiement hors délais","OK RAS")))</f>
        <v/>
      </c>
      <c r="K739" s="74" t="n"/>
      <c r="L739" s="74" t="n"/>
      <c r="M739" s="74" t="n"/>
    </row>
    <row r="740" ht="14.25" customHeight="1">
      <c r="B740" s="80" t="n"/>
      <c r="D740" s="77" t="n"/>
      <c r="E740" s="46" t="n"/>
      <c r="F740" s="71" t="n"/>
      <c r="G740" s="91">
        <f>+IF(Tableau1[[#This Row],[Fournisseur]]="","",IFERROR(VLOOKUP(Tableau1[[#This Row],[Fournisseur]],SuiviFrs,2,FALSE),"Vérifier la syntaxe : Fournisseur introuvable au niveau du suivi des conventions"))</f>
        <v/>
      </c>
      <c r="H740" s="72">
        <f>++IF(Tableau1[[#This Row],[Fournisseur]]="","",C740+G740-1)</f>
        <v/>
      </c>
      <c r="I740" s="73">
        <f>++IF(Tableau1[[#This Row],[Fournisseur]]="","",IF(H740-Tableau1[[#This Row],[Date Paiement Effectif]]&gt;0," ",H740-Tableau1[[#This Row],[Date Paiement Effectif]]))</f>
        <v/>
      </c>
      <c r="J740" s="92">
        <f>++IF(Tableau1[[#This Row],[Fournisseur]]="","",IF(Tableau1[[#This Row],[Date Paiement Effectif]]="","Non encore payée",IF(I740&lt;0,"Attention, paiement hors délais","OK RAS")))</f>
        <v/>
      </c>
      <c r="K740" s="74" t="n"/>
      <c r="L740" s="74" t="n"/>
      <c r="M740" s="74" t="n"/>
    </row>
    <row r="741" ht="14.25" customHeight="1">
      <c r="B741" s="80" t="n"/>
      <c r="D741" s="77" t="n"/>
      <c r="E741" s="46" t="n"/>
      <c r="F741" s="71" t="n"/>
      <c r="G741" s="91">
        <f>+IF(Tableau1[[#This Row],[Fournisseur]]="","",IFERROR(VLOOKUP(Tableau1[[#This Row],[Fournisseur]],SuiviFrs,2,FALSE),"Vérifier la syntaxe : Fournisseur introuvable au niveau du suivi des conventions"))</f>
        <v/>
      </c>
      <c r="H741" s="72">
        <f>++IF(Tableau1[[#This Row],[Fournisseur]]="","",C741+G741-1)</f>
        <v/>
      </c>
      <c r="I741" s="73">
        <f>++IF(Tableau1[[#This Row],[Fournisseur]]="","",IF(H741-Tableau1[[#This Row],[Date Paiement Effectif]]&gt;0," ",H741-Tableau1[[#This Row],[Date Paiement Effectif]]))</f>
        <v/>
      </c>
      <c r="J741" s="92">
        <f>++IF(Tableau1[[#This Row],[Fournisseur]]="","",IF(Tableau1[[#This Row],[Date Paiement Effectif]]="","Non encore payée",IF(I741&lt;0,"Attention, paiement hors délais","OK RAS")))</f>
        <v/>
      </c>
      <c r="K741" s="74" t="n"/>
      <c r="L741" s="74" t="n"/>
      <c r="M741" s="74" t="n"/>
    </row>
    <row r="742" ht="14.25" customHeight="1">
      <c r="B742" s="80" t="n"/>
      <c r="D742" s="77" t="n"/>
      <c r="E742" s="46" t="n"/>
      <c r="F742" s="71" t="n"/>
      <c r="G742" s="91">
        <f>+IF(Tableau1[[#This Row],[Fournisseur]]="","",IFERROR(VLOOKUP(Tableau1[[#This Row],[Fournisseur]],SuiviFrs,2,FALSE),"Vérifier la syntaxe : Fournisseur introuvable au niveau du suivi des conventions"))</f>
        <v/>
      </c>
      <c r="H742" s="72">
        <f>++IF(Tableau1[[#This Row],[Fournisseur]]="","",C742+G742-1)</f>
        <v/>
      </c>
      <c r="I742" s="73">
        <f>++IF(Tableau1[[#This Row],[Fournisseur]]="","",IF(H742-Tableau1[[#This Row],[Date Paiement Effectif]]&gt;0," ",H742-Tableau1[[#This Row],[Date Paiement Effectif]]))</f>
        <v/>
      </c>
      <c r="J742" s="92">
        <f>++IF(Tableau1[[#This Row],[Fournisseur]]="","",IF(Tableau1[[#This Row],[Date Paiement Effectif]]="","Non encore payée",IF(I742&lt;0,"Attention, paiement hors délais","OK RAS")))</f>
        <v/>
      </c>
      <c r="K742" s="74" t="n"/>
      <c r="L742" s="74" t="n"/>
      <c r="M742" s="74" t="n"/>
    </row>
    <row r="743" ht="14.25" customHeight="1">
      <c r="B743" s="80" t="n"/>
      <c r="D743" s="77" t="n"/>
      <c r="E743" s="46" t="n"/>
      <c r="F743" s="71" t="n"/>
      <c r="G743" s="91">
        <f>+IF(Tableau1[[#This Row],[Fournisseur]]="","",IFERROR(VLOOKUP(Tableau1[[#This Row],[Fournisseur]],SuiviFrs,2,FALSE),"Vérifier la syntaxe : Fournisseur introuvable au niveau du suivi des conventions"))</f>
        <v/>
      </c>
      <c r="H743" s="72">
        <f>++IF(Tableau1[[#This Row],[Fournisseur]]="","",C743+G743-1)</f>
        <v/>
      </c>
      <c r="I743" s="73">
        <f>++IF(Tableau1[[#This Row],[Fournisseur]]="","",IF(H743-Tableau1[[#This Row],[Date Paiement Effectif]]&gt;0," ",H743-Tableau1[[#This Row],[Date Paiement Effectif]]))</f>
        <v/>
      </c>
      <c r="J743" s="92">
        <f>++IF(Tableau1[[#This Row],[Fournisseur]]="","",IF(Tableau1[[#This Row],[Date Paiement Effectif]]="","Non encore payée",IF(I743&lt;0,"Attention, paiement hors délais","OK RAS")))</f>
        <v/>
      </c>
      <c r="K743" s="74" t="n"/>
      <c r="L743" s="74" t="n"/>
      <c r="M743" s="74" t="n"/>
    </row>
    <row r="744" ht="14.25" customHeight="1">
      <c r="B744" s="80" t="n"/>
      <c r="D744" s="77" t="n"/>
      <c r="E744" s="46" t="n"/>
      <c r="F744" s="71" t="n"/>
      <c r="G744" s="91">
        <f>+IF(Tableau1[[#This Row],[Fournisseur]]="","",IFERROR(VLOOKUP(Tableau1[[#This Row],[Fournisseur]],SuiviFrs,2,FALSE),"Vérifier la syntaxe : Fournisseur introuvable au niveau du suivi des conventions"))</f>
        <v/>
      </c>
      <c r="H744" s="72">
        <f>++IF(Tableau1[[#This Row],[Fournisseur]]="","",C744+G744-1)</f>
        <v/>
      </c>
      <c r="I744" s="73">
        <f>++IF(Tableau1[[#This Row],[Fournisseur]]="","",IF(H744-Tableau1[[#This Row],[Date Paiement Effectif]]&gt;0," ",H744-Tableau1[[#This Row],[Date Paiement Effectif]]))</f>
        <v/>
      </c>
      <c r="J744" s="92">
        <f>++IF(Tableau1[[#This Row],[Fournisseur]]="","",IF(Tableau1[[#This Row],[Date Paiement Effectif]]="","Non encore payée",IF(I744&lt;0,"Attention, paiement hors délais","OK RAS")))</f>
        <v/>
      </c>
      <c r="K744" s="74" t="n"/>
      <c r="L744" s="74" t="n"/>
      <c r="M744" s="74" t="n"/>
    </row>
    <row r="745" ht="14.25" customHeight="1">
      <c r="B745" s="80" t="n"/>
      <c r="D745" s="77" t="n"/>
      <c r="E745" s="46" t="n"/>
      <c r="F745" s="71" t="n"/>
      <c r="G745" s="91">
        <f>+IF(Tableau1[[#This Row],[Fournisseur]]="","",IFERROR(VLOOKUP(Tableau1[[#This Row],[Fournisseur]],SuiviFrs,2,FALSE),"Vérifier la syntaxe : Fournisseur introuvable au niveau du suivi des conventions"))</f>
        <v/>
      </c>
      <c r="H745" s="72">
        <f>++IF(Tableau1[[#This Row],[Fournisseur]]="","",C745+G745-1)</f>
        <v/>
      </c>
      <c r="I745" s="73">
        <f>++IF(Tableau1[[#This Row],[Fournisseur]]="","",IF(H745-Tableau1[[#This Row],[Date Paiement Effectif]]&gt;0," ",H745-Tableau1[[#This Row],[Date Paiement Effectif]]))</f>
        <v/>
      </c>
      <c r="J745" s="92">
        <f>++IF(Tableau1[[#This Row],[Fournisseur]]="","",IF(Tableau1[[#This Row],[Date Paiement Effectif]]="","Non encore payée",IF(I745&lt;0,"Attention, paiement hors délais","OK RAS")))</f>
        <v/>
      </c>
      <c r="K745" s="74" t="n"/>
      <c r="L745" s="74" t="n"/>
      <c r="M745" s="74" t="n"/>
    </row>
    <row r="746" ht="14.25" customHeight="1">
      <c r="B746" s="80" t="n"/>
      <c r="D746" s="77" t="n"/>
      <c r="E746" s="46" t="n"/>
      <c r="F746" s="71" t="n"/>
      <c r="G746" s="91">
        <f>+IF(Tableau1[[#This Row],[Fournisseur]]="","",IFERROR(VLOOKUP(Tableau1[[#This Row],[Fournisseur]],SuiviFrs,2,FALSE),"Vérifier la syntaxe : Fournisseur introuvable au niveau du suivi des conventions"))</f>
        <v/>
      </c>
      <c r="H746" s="72">
        <f>++IF(Tableau1[[#This Row],[Fournisseur]]="","",C746+G746-1)</f>
        <v/>
      </c>
      <c r="I746" s="73">
        <f>++IF(Tableau1[[#This Row],[Fournisseur]]="","",IF(H746-Tableau1[[#This Row],[Date Paiement Effectif]]&gt;0," ",H746-Tableau1[[#This Row],[Date Paiement Effectif]]))</f>
        <v/>
      </c>
      <c r="J746" s="92">
        <f>++IF(Tableau1[[#This Row],[Fournisseur]]="","",IF(Tableau1[[#This Row],[Date Paiement Effectif]]="","Non encore payée",IF(I746&lt;0,"Attention, paiement hors délais","OK RAS")))</f>
        <v/>
      </c>
      <c r="K746" s="74" t="n"/>
      <c r="L746" s="74" t="n"/>
      <c r="M746" s="74" t="n"/>
    </row>
    <row r="747" ht="14.25" customHeight="1">
      <c r="B747" s="80" t="n"/>
      <c r="D747" s="77" t="n"/>
      <c r="E747" s="46" t="n"/>
      <c r="F747" s="71" t="n"/>
      <c r="G747" s="91">
        <f>+IF(Tableau1[[#This Row],[Fournisseur]]="","",IFERROR(VLOOKUP(Tableau1[[#This Row],[Fournisseur]],SuiviFrs,2,FALSE),"Vérifier la syntaxe : Fournisseur introuvable au niveau du suivi des conventions"))</f>
        <v/>
      </c>
      <c r="H747" s="72">
        <f>++IF(Tableau1[[#This Row],[Fournisseur]]="","",C747+G747-1)</f>
        <v/>
      </c>
      <c r="I747" s="73">
        <f>++IF(Tableau1[[#This Row],[Fournisseur]]="","",IF(H747-Tableau1[[#This Row],[Date Paiement Effectif]]&gt;0," ",H747-Tableau1[[#This Row],[Date Paiement Effectif]]))</f>
        <v/>
      </c>
      <c r="J747" s="92">
        <f>++IF(Tableau1[[#This Row],[Fournisseur]]="","",IF(Tableau1[[#This Row],[Date Paiement Effectif]]="","Non encore payée",IF(I747&lt;0,"Attention, paiement hors délais","OK RAS")))</f>
        <v/>
      </c>
      <c r="K747" s="74" t="n"/>
      <c r="L747" s="74" t="n"/>
      <c r="M747" s="74" t="n"/>
    </row>
    <row r="748" ht="14.25" customHeight="1">
      <c r="B748" s="80" t="n"/>
      <c r="D748" s="77" t="n"/>
      <c r="E748" s="46" t="n"/>
      <c r="F748" s="71" t="n"/>
      <c r="G748" s="91">
        <f>+IF(Tableau1[[#This Row],[Fournisseur]]="","",IFERROR(VLOOKUP(Tableau1[[#This Row],[Fournisseur]],SuiviFrs,2,FALSE),"Vérifier la syntaxe : Fournisseur introuvable au niveau du suivi des conventions"))</f>
        <v/>
      </c>
      <c r="H748" s="72">
        <f>++IF(Tableau1[[#This Row],[Fournisseur]]="","",C748+G748-1)</f>
        <v/>
      </c>
      <c r="I748" s="73">
        <f>++IF(Tableau1[[#This Row],[Fournisseur]]="","",IF(H748-Tableau1[[#This Row],[Date Paiement Effectif]]&gt;0," ",H748-Tableau1[[#This Row],[Date Paiement Effectif]]))</f>
        <v/>
      </c>
      <c r="J748" s="92">
        <f>++IF(Tableau1[[#This Row],[Fournisseur]]="","",IF(Tableau1[[#This Row],[Date Paiement Effectif]]="","Non encore payée",IF(I748&lt;0,"Attention, paiement hors délais","OK RAS")))</f>
        <v/>
      </c>
      <c r="K748" s="74" t="n"/>
      <c r="L748" s="74" t="n"/>
      <c r="M748" s="74" t="n"/>
    </row>
    <row r="749" ht="14.25" customHeight="1">
      <c r="B749" s="81" t="n"/>
      <c r="D749" s="77" t="n"/>
      <c r="E749" s="46" t="n"/>
      <c r="F749" s="75" t="n"/>
      <c r="G749" s="91">
        <f>+IF(Tableau1[[#This Row],[Fournisseur]]="","",IFERROR(VLOOKUP(Tableau1[[#This Row],[Fournisseur]],SuiviFrs,2,FALSE),"Vérifier la syntaxe : Fournisseur introuvable au niveau du suivi des conventions"))</f>
        <v/>
      </c>
      <c r="H749" s="72">
        <f>++IF(Tableau1[[#This Row],[Fournisseur]]="","",C749+G749-1)</f>
        <v/>
      </c>
      <c r="I749" s="73">
        <f>++IF(Tableau1[[#This Row],[Fournisseur]]="","",IF(H749-Tableau1[[#This Row],[Date Paiement Effectif]]&gt;0," ",H749-Tableau1[[#This Row],[Date Paiement Effectif]]))</f>
        <v/>
      </c>
      <c r="J749" s="92">
        <f>++IF(Tableau1[[#This Row],[Fournisseur]]="","",IF(Tableau1[[#This Row],[Date Paiement Effectif]]="","Non encore payée",IF(I749&lt;0,"Attention, paiement hors délais","OK RAS")))</f>
        <v/>
      </c>
      <c r="K749" s="76" t="n"/>
      <c r="L749" s="76" t="n"/>
      <c r="M749" s="74" t="n"/>
    </row>
    <row r="750" ht="14.25" customHeight="1">
      <c r="B750" s="80" t="n"/>
      <c r="D750" s="77" t="n"/>
      <c r="E750" s="46" t="n"/>
      <c r="F750" s="71" t="n"/>
      <c r="G750" s="91">
        <f>+IF(Tableau1[[#This Row],[Fournisseur]]="","",IFERROR(VLOOKUP(Tableau1[[#This Row],[Fournisseur]],SuiviFrs,2,FALSE),"Vérifier la syntaxe : Fournisseur introuvable au niveau du suivi des conventions"))</f>
        <v/>
      </c>
      <c r="H750" s="72">
        <f>++IF(Tableau1[[#This Row],[Fournisseur]]="","",C750+G750-1)</f>
        <v/>
      </c>
      <c r="I750" s="73">
        <f>++IF(Tableau1[[#This Row],[Fournisseur]]="","",IF(H750-Tableau1[[#This Row],[Date Paiement Effectif]]&gt;0," ",H750-Tableau1[[#This Row],[Date Paiement Effectif]]))</f>
        <v/>
      </c>
      <c r="J750" s="92">
        <f>++IF(Tableau1[[#This Row],[Fournisseur]]="","",IF(Tableau1[[#This Row],[Date Paiement Effectif]]="","Non encore payée",IF(I750&lt;0,"Attention, paiement hors délais","OK RAS")))</f>
        <v/>
      </c>
      <c r="K750" s="74" t="n"/>
      <c r="L750" s="74" t="n"/>
      <c r="M750" s="74" t="n"/>
    </row>
    <row r="751" ht="14.25" customHeight="1">
      <c r="B751" s="81" t="n"/>
      <c r="D751" s="77" t="n"/>
      <c r="E751" s="46" t="n"/>
      <c r="F751" s="75" t="n"/>
      <c r="G751" s="91">
        <f>+IF(Tableau1[[#This Row],[Fournisseur]]="","",IFERROR(VLOOKUP(Tableau1[[#This Row],[Fournisseur]],SuiviFrs,2,FALSE),"Vérifier la syntaxe : Fournisseur introuvable au niveau du suivi des conventions"))</f>
        <v/>
      </c>
      <c r="H751" s="72">
        <f>++IF(Tableau1[[#This Row],[Fournisseur]]="","",C751+G751-1)</f>
        <v/>
      </c>
      <c r="I751" s="73">
        <f>++IF(Tableau1[[#This Row],[Fournisseur]]="","",IF(H751-Tableau1[[#This Row],[Date Paiement Effectif]]&gt;0," ",H751-Tableau1[[#This Row],[Date Paiement Effectif]]))</f>
        <v/>
      </c>
      <c r="J751" s="92">
        <f>++IF(Tableau1[[#This Row],[Fournisseur]]="","",IF(Tableau1[[#This Row],[Date Paiement Effectif]]="","Non encore payée",IF(I751&lt;0,"Attention, paiement hors délais","OK RAS")))</f>
        <v/>
      </c>
      <c r="K751" s="76" t="n"/>
      <c r="L751" s="76" t="n"/>
      <c r="M751" s="74" t="n"/>
    </row>
    <row r="752" ht="14.25" customHeight="1">
      <c r="B752" s="80" t="n"/>
      <c r="D752" s="77" t="n"/>
      <c r="E752" s="46" t="n"/>
      <c r="F752" s="71" t="n"/>
      <c r="G752" s="91">
        <f>+IF(Tableau1[[#This Row],[Fournisseur]]="","",IFERROR(VLOOKUP(Tableau1[[#This Row],[Fournisseur]],SuiviFrs,2,FALSE),"Vérifier la syntaxe : Fournisseur introuvable au niveau du suivi des conventions"))</f>
        <v/>
      </c>
      <c r="H752" s="72">
        <f>++IF(Tableau1[[#This Row],[Fournisseur]]="","",C752+G752-1)</f>
        <v/>
      </c>
      <c r="I752" s="73">
        <f>++IF(Tableau1[[#This Row],[Fournisseur]]="","",IF(H752-Tableau1[[#This Row],[Date Paiement Effectif]]&gt;0," ",H752-Tableau1[[#This Row],[Date Paiement Effectif]]))</f>
        <v/>
      </c>
      <c r="J752" s="92">
        <f>++IF(Tableau1[[#This Row],[Fournisseur]]="","",IF(Tableau1[[#This Row],[Date Paiement Effectif]]="","Non encore payée",IF(I752&lt;0,"Attention, paiement hors délais","OK RAS")))</f>
        <v/>
      </c>
      <c r="K752" s="74" t="n"/>
      <c r="L752" s="74" t="n"/>
      <c r="M752" s="74" t="n"/>
    </row>
    <row r="753" ht="14.25" customHeight="1">
      <c r="B753" s="80" t="n"/>
      <c r="D753" s="77" t="n"/>
      <c r="E753" s="46" t="n"/>
      <c r="F753" s="71" t="n"/>
      <c r="G753" s="91">
        <f>+IF(Tableau1[[#This Row],[Fournisseur]]="","",IFERROR(VLOOKUP(Tableau1[[#This Row],[Fournisseur]],SuiviFrs,2,FALSE),"Vérifier la syntaxe : Fournisseur introuvable au niveau du suivi des conventions"))</f>
        <v/>
      </c>
      <c r="H753" s="72">
        <f>++IF(Tableau1[[#This Row],[Fournisseur]]="","",C753+G753-1)</f>
        <v/>
      </c>
      <c r="I753" s="73">
        <f>++IF(Tableau1[[#This Row],[Fournisseur]]="","",IF(H753-Tableau1[[#This Row],[Date Paiement Effectif]]&gt;0," ",H753-Tableau1[[#This Row],[Date Paiement Effectif]]))</f>
        <v/>
      </c>
      <c r="J753" s="92">
        <f>++IF(Tableau1[[#This Row],[Fournisseur]]="","",IF(Tableau1[[#This Row],[Date Paiement Effectif]]="","Non encore payée",IF(I753&lt;0,"Attention, paiement hors délais","OK RAS")))</f>
        <v/>
      </c>
      <c r="K753" s="74" t="n"/>
      <c r="L753" s="74" t="n"/>
      <c r="M753" s="74" t="n"/>
    </row>
    <row r="754" ht="14.25" customHeight="1">
      <c r="B754" s="80" t="n"/>
      <c r="D754" s="77" t="n"/>
      <c r="E754" s="46" t="n"/>
      <c r="F754" s="71" t="n"/>
      <c r="G754" s="91">
        <f>+IF(Tableau1[[#This Row],[Fournisseur]]="","",IFERROR(VLOOKUP(Tableau1[[#This Row],[Fournisseur]],SuiviFrs,2,FALSE),"Vérifier la syntaxe : Fournisseur introuvable au niveau du suivi des conventions"))</f>
        <v/>
      </c>
      <c r="H754" s="72">
        <f>++IF(Tableau1[[#This Row],[Fournisseur]]="","",C754+G754-1)</f>
        <v/>
      </c>
      <c r="I754" s="73">
        <f>++IF(Tableau1[[#This Row],[Fournisseur]]="","",IF(H754-Tableau1[[#This Row],[Date Paiement Effectif]]&gt;0," ",H754-Tableau1[[#This Row],[Date Paiement Effectif]]))</f>
        <v/>
      </c>
      <c r="J754" s="92">
        <f>++IF(Tableau1[[#This Row],[Fournisseur]]="","",IF(Tableau1[[#This Row],[Date Paiement Effectif]]="","Non encore payée",IF(I754&lt;0,"Attention, paiement hors délais","OK RAS")))</f>
        <v/>
      </c>
      <c r="K754" s="74" t="n"/>
      <c r="L754" s="74" t="n"/>
      <c r="M754" s="74" t="n"/>
    </row>
    <row r="755" ht="14.25" customHeight="1">
      <c r="B755" s="81" t="n"/>
      <c r="D755" s="77" t="n"/>
      <c r="E755" s="46" t="n"/>
      <c r="F755" s="75" t="n"/>
      <c r="G755" s="91">
        <f>+IF(Tableau1[[#This Row],[Fournisseur]]="","",IFERROR(VLOOKUP(Tableau1[[#This Row],[Fournisseur]],SuiviFrs,2,FALSE),"Vérifier la syntaxe : Fournisseur introuvable au niveau du suivi des conventions"))</f>
        <v/>
      </c>
      <c r="H755" s="72">
        <f>++IF(Tableau1[[#This Row],[Fournisseur]]="","",C755+G755-1)</f>
        <v/>
      </c>
      <c r="I755" s="73">
        <f>++IF(Tableau1[[#This Row],[Fournisseur]]="","",IF(H755-Tableau1[[#This Row],[Date Paiement Effectif]]&gt;0," ",H755-Tableau1[[#This Row],[Date Paiement Effectif]]))</f>
        <v/>
      </c>
      <c r="J755" s="92">
        <f>++IF(Tableau1[[#This Row],[Fournisseur]]="","",IF(Tableau1[[#This Row],[Date Paiement Effectif]]="","Non encore payée",IF(I755&lt;0,"Attention, paiement hors délais","OK RAS")))</f>
        <v/>
      </c>
      <c r="K755" s="76" t="n"/>
      <c r="L755" s="76" t="n"/>
      <c r="M755" s="74" t="n"/>
    </row>
    <row r="756" ht="14.25" customHeight="1">
      <c r="B756" s="81" t="n"/>
      <c r="D756" s="77" t="n"/>
      <c r="E756" s="46" t="n"/>
      <c r="F756" s="75" t="n"/>
      <c r="G756" s="91">
        <f>+IF(Tableau1[[#This Row],[Fournisseur]]="","",IFERROR(VLOOKUP(Tableau1[[#This Row],[Fournisseur]],SuiviFrs,2,FALSE),"Vérifier la syntaxe : Fournisseur introuvable au niveau du suivi des conventions"))</f>
        <v/>
      </c>
      <c r="H756" s="72">
        <f>++IF(Tableau1[[#This Row],[Fournisseur]]="","",C756+G756-1)</f>
        <v/>
      </c>
      <c r="I756" s="73">
        <f>++IF(Tableau1[[#This Row],[Fournisseur]]="","",IF(H756-Tableau1[[#This Row],[Date Paiement Effectif]]&gt;0," ",H756-Tableau1[[#This Row],[Date Paiement Effectif]]))</f>
        <v/>
      </c>
      <c r="J756" s="92">
        <f>++IF(Tableau1[[#This Row],[Fournisseur]]="","",IF(Tableau1[[#This Row],[Date Paiement Effectif]]="","Non encore payée",IF(I756&lt;0,"Attention, paiement hors délais","OK RAS")))</f>
        <v/>
      </c>
      <c r="K756" s="76" t="n"/>
      <c r="L756" s="76" t="n"/>
      <c r="M756" s="74" t="n"/>
    </row>
    <row r="757" ht="14.25" customHeight="1">
      <c r="B757" s="81" t="n"/>
      <c r="D757" s="77" t="n"/>
      <c r="E757" s="46" t="n"/>
      <c r="F757" s="75" t="n"/>
      <c r="G757" s="91">
        <f>+IF(Tableau1[[#This Row],[Fournisseur]]="","",IFERROR(VLOOKUP(Tableau1[[#This Row],[Fournisseur]],SuiviFrs,2,FALSE),"Vérifier la syntaxe : Fournisseur introuvable au niveau du suivi des conventions"))</f>
        <v/>
      </c>
      <c r="H757" s="72">
        <f>++IF(Tableau1[[#This Row],[Fournisseur]]="","",C757+G757-1)</f>
        <v/>
      </c>
      <c r="I757" s="73">
        <f>++IF(Tableau1[[#This Row],[Fournisseur]]="","",IF(H757-Tableau1[[#This Row],[Date Paiement Effectif]]&gt;0," ",H757-Tableau1[[#This Row],[Date Paiement Effectif]]))</f>
        <v/>
      </c>
      <c r="J757" s="92">
        <f>++IF(Tableau1[[#This Row],[Fournisseur]]="","",IF(Tableau1[[#This Row],[Date Paiement Effectif]]="","Non encore payée",IF(I757&lt;0,"Attention, paiement hors délais","OK RAS")))</f>
        <v/>
      </c>
      <c r="K757" s="90" t="n">
        <v>46063</v>
      </c>
      <c r="L757" s="90" t="n"/>
      <c r="M757" s="74" t="n"/>
    </row>
    <row r="758" ht="14.25" customHeight="1">
      <c r="B758" s="80" t="n"/>
      <c r="D758" s="77" t="n"/>
      <c r="E758" s="46" t="n"/>
      <c r="F758" s="71" t="n"/>
      <c r="G758" s="91">
        <f>+IF(Tableau1[[#This Row],[Fournisseur]]="","",IFERROR(VLOOKUP(Tableau1[[#This Row],[Fournisseur]],SuiviFrs,2,FALSE),"Vérifier la syntaxe : Fournisseur introuvable au niveau du suivi des conventions"))</f>
        <v/>
      </c>
      <c r="H758" s="72">
        <f>++IF(Tableau1[[#This Row],[Fournisseur]]="","",C758+G758-1)</f>
        <v/>
      </c>
      <c r="I758" s="73">
        <f>++IF(Tableau1[[#This Row],[Fournisseur]]="","",IF(H758-Tableau1[[#This Row],[Date Paiement Effectif]]&gt;0," ",H758-Tableau1[[#This Row],[Date Paiement Effectif]]))</f>
        <v/>
      </c>
      <c r="J758" s="92">
        <f>++IF(Tableau1[[#This Row],[Fournisseur]]="","",IF(Tableau1[[#This Row],[Date Paiement Effectif]]="","Non encore payée",IF(I758&lt;0,"Attention, paiement hors délais","OK RAS")))</f>
        <v/>
      </c>
      <c r="K758" s="74" t="n"/>
      <c r="L758" s="74" t="n"/>
      <c r="M758" s="74" t="n"/>
    </row>
    <row r="759" ht="14.25" customHeight="1">
      <c r="B759" s="80" t="n"/>
      <c r="D759" s="77" t="n"/>
      <c r="E759" s="46" t="n"/>
      <c r="F759" s="71" t="n"/>
      <c r="G759" s="91">
        <f>+IF(Tableau1[[#This Row],[Fournisseur]]="","",IFERROR(VLOOKUP(Tableau1[[#This Row],[Fournisseur]],SuiviFrs,2,FALSE),"Vérifier la syntaxe : Fournisseur introuvable au niveau du suivi des conventions"))</f>
        <v/>
      </c>
      <c r="H759" s="72">
        <f>++IF(Tableau1[[#This Row],[Fournisseur]]="","",C759+G759-1)</f>
        <v/>
      </c>
      <c r="I759" s="73">
        <f>++IF(Tableau1[[#This Row],[Fournisseur]]="","",IF(H759-Tableau1[[#This Row],[Date Paiement Effectif]]&gt;0," ",H759-Tableau1[[#This Row],[Date Paiement Effectif]]))</f>
        <v/>
      </c>
      <c r="J759" s="92">
        <f>++IF(Tableau1[[#This Row],[Fournisseur]]="","",IF(Tableau1[[#This Row],[Date Paiement Effectif]]="","Non encore payée",IF(I759&lt;0,"Attention, paiement hors délais","OK RAS")))</f>
        <v/>
      </c>
      <c r="K759" s="74" t="n"/>
      <c r="L759" s="74" t="n"/>
      <c r="M759" s="74" t="n"/>
    </row>
    <row r="760" ht="14.25" customHeight="1">
      <c r="B760" s="80" t="n"/>
      <c r="D760" s="77" t="n"/>
      <c r="E760" s="46" t="n"/>
      <c r="F760" s="71" t="n"/>
      <c r="G760" s="91">
        <f>+IF(Tableau1[[#This Row],[Fournisseur]]="","",IFERROR(VLOOKUP(Tableau1[[#This Row],[Fournisseur]],SuiviFrs,2,FALSE),"Vérifier la syntaxe : Fournisseur introuvable au niveau du suivi des conventions"))</f>
        <v/>
      </c>
      <c r="H760" s="72">
        <f>++IF(Tableau1[[#This Row],[Fournisseur]]="","",C760+G760-1)</f>
        <v/>
      </c>
      <c r="I760" s="73">
        <f>++IF(Tableau1[[#This Row],[Fournisseur]]="","",IF(H760-Tableau1[[#This Row],[Date Paiement Effectif]]&gt;0," ",H760-Tableau1[[#This Row],[Date Paiement Effectif]]))</f>
        <v/>
      </c>
      <c r="J760" s="92">
        <f>++IF(Tableau1[[#This Row],[Fournisseur]]="","",IF(Tableau1[[#This Row],[Date Paiement Effectif]]="","Non encore payée",IF(I760&lt;0,"Attention, paiement hors délais","OK RAS")))</f>
        <v/>
      </c>
      <c r="K760" s="74" t="n"/>
      <c r="L760" s="74" t="n"/>
      <c r="M760" s="74" t="n"/>
    </row>
    <row r="761" ht="14.25" customHeight="1">
      <c r="B761" s="81" t="n"/>
      <c r="D761" s="77" t="n"/>
      <c r="E761" s="46" t="n"/>
      <c r="F761" s="75" t="n"/>
      <c r="G761" s="91">
        <f>+IF(Tableau1[[#This Row],[Fournisseur]]="","",IFERROR(VLOOKUP(Tableau1[[#This Row],[Fournisseur]],SuiviFrs,2,FALSE),"Vérifier la syntaxe : Fournisseur introuvable au niveau du suivi des conventions"))</f>
        <v/>
      </c>
      <c r="H761" s="72">
        <f>++IF(Tableau1[[#This Row],[Fournisseur]]="","",C761+G761-1)</f>
        <v/>
      </c>
      <c r="I761" s="73">
        <f>++IF(Tableau1[[#This Row],[Fournisseur]]="","",IF(H761-Tableau1[[#This Row],[Date Paiement Effectif]]&gt;0," ",H761-Tableau1[[#This Row],[Date Paiement Effectif]]))</f>
        <v/>
      </c>
      <c r="J761" s="92">
        <f>++IF(Tableau1[[#This Row],[Fournisseur]]="","",IF(Tableau1[[#This Row],[Date Paiement Effectif]]="","Non encore payée",IF(I761&lt;0,"Attention, paiement hors délais","OK RAS")))</f>
        <v/>
      </c>
      <c r="K761" s="76" t="n"/>
      <c r="L761" s="76" t="n"/>
      <c r="M761" s="74" t="n"/>
    </row>
    <row r="762" ht="14.25" customHeight="1">
      <c r="B762" s="80" t="n"/>
      <c r="D762" s="77" t="n"/>
      <c r="E762" s="46" t="n"/>
      <c r="F762" s="71" t="n"/>
      <c r="G762" s="91">
        <f>+IF(Tableau1[[#This Row],[Fournisseur]]="","",IFERROR(VLOOKUP(Tableau1[[#This Row],[Fournisseur]],SuiviFrs,2,FALSE),"Vérifier la syntaxe : Fournisseur introuvable au niveau du suivi des conventions"))</f>
        <v/>
      </c>
      <c r="H762" s="72">
        <f>++IF(Tableau1[[#This Row],[Fournisseur]]="","",C762+G762-1)</f>
        <v/>
      </c>
      <c r="I762" s="73">
        <f>++IF(Tableau1[[#This Row],[Fournisseur]]="","",IF(H762-Tableau1[[#This Row],[Date Paiement Effectif]]&gt;0," ",H762-Tableau1[[#This Row],[Date Paiement Effectif]]))</f>
        <v/>
      </c>
      <c r="J762" s="92">
        <f>++IF(Tableau1[[#This Row],[Fournisseur]]="","",IF(Tableau1[[#This Row],[Date Paiement Effectif]]="","Non encore payée",IF(I762&lt;0,"Attention, paiement hors délais","OK RAS")))</f>
        <v/>
      </c>
      <c r="K762" s="74" t="n"/>
      <c r="L762" s="74" t="n"/>
      <c r="M762" s="74" t="n"/>
    </row>
    <row r="763" ht="14.25" customHeight="1">
      <c r="B763" s="80" t="n"/>
      <c r="D763" s="77" t="n"/>
      <c r="E763" s="46" t="n"/>
      <c r="F763" s="71" t="n"/>
      <c r="G763" s="91">
        <f>+IF(Tableau1[[#This Row],[Fournisseur]]="","",IFERROR(VLOOKUP(Tableau1[[#This Row],[Fournisseur]],SuiviFrs,2,FALSE),"Vérifier la syntaxe : Fournisseur introuvable au niveau du suivi des conventions"))</f>
        <v/>
      </c>
      <c r="H763" s="72">
        <f>++IF(Tableau1[[#This Row],[Fournisseur]]="","",C763+G763-1)</f>
        <v/>
      </c>
      <c r="I763" s="73">
        <f>++IF(Tableau1[[#This Row],[Fournisseur]]="","",IF(H763-Tableau1[[#This Row],[Date Paiement Effectif]]&gt;0," ",H763-Tableau1[[#This Row],[Date Paiement Effectif]]))</f>
        <v/>
      </c>
      <c r="J763" s="92">
        <f>++IF(Tableau1[[#This Row],[Fournisseur]]="","",IF(Tableau1[[#This Row],[Date Paiement Effectif]]="","Non encore payée",IF(I763&lt;0,"Attention, paiement hors délais","OK RAS")))</f>
        <v/>
      </c>
      <c r="K763" s="74" t="n"/>
      <c r="L763" s="74" t="n"/>
      <c r="M763" s="74" t="n"/>
    </row>
    <row r="764" ht="14.25" customHeight="1">
      <c r="B764" s="80" t="n"/>
      <c r="D764" s="77" t="n"/>
      <c r="E764" s="46" t="n"/>
      <c r="F764" s="71" t="n"/>
      <c r="G764" s="91">
        <f>+IF(Tableau1[[#This Row],[Fournisseur]]="","",IFERROR(VLOOKUP(Tableau1[[#This Row],[Fournisseur]],SuiviFrs,2,FALSE),"Vérifier la syntaxe : Fournisseur introuvable au niveau du suivi des conventions"))</f>
        <v/>
      </c>
      <c r="H764" s="72">
        <f>++IF(Tableau1[[#This Row],[Fournisseur]]="","",C764+G764-1)</f>
        <v/>
      </c>
      <c r="I764" s="73">
        <f>++IF(Tableau1[[#This Row],[Fournisseur]]="","",IF(H764-Tableau1[[#This Row],[Date Paiement Effectif]]&gt;0," ",H764-Tableau1[[#This Row],[Date Paiement Effectif]]))</f>
        <v/>
      </c>
      <c r="J764" s="92">
        <f>++IF(Tableau1[[#This Row],[Fournisseur]]="","",IF(Tableau1[[#This Row],[Date Paiement Effectif]]="","Non encore payée",IF(I764&lt;0,"Attention, paiement hors délais","OK RAS")))</f>
        <v/>
      </c>
      <c r="K764" s="74" t="n"/>
      <c r="L764" s="74" t="n"/>
      <c r="M764" s="74" t="n"/>
    </row>
    <row r="765" ht="14.25" customHeight="1">
      <c r="B765" s="80" t="n"/>
      <c r="D765" s="77" t="n"/>
      <c r="E765" s="46" t="n"/>
      <c r="F765" s="71" t="n"/>
      <c r="G765" s="91">
        <f>+IF(Tableau1[[#This Row],[Fournisseur]]="","",IFERROR(VLOOKUP(Tableau1[[#This Row],[Fournisseur]],SuiviFrs,2,FALSE),"Vérifier la syntaxe : Fournisseur introuvable au niveau du suivi des conventions"))</f>
        <v/>
      </c>
      <c r="H765" s="72">
        <f>++IF(Tableau1[[#This Row],[Fournisseur]]="","",C765+G765-1)</f>
        <v/>
      </c>
      <c r="I765" s="73">
        <f>++IF(Tableau1[[#This Row],[Fournisseur]]="","",IF(H765-Tableau1[[#This Row],[Date Paiement Effectif]]&gt;0," ",H765-Tableau1[[#This Row],[Date Paiement Effectif]]))</f>
        <v/>
      </c>
      <c r="J765" s="92">
        <f>++IF(Tableau1[[#This Row],[Fournisseur]]="","",IF(Tableau1[[#This Row],[Date Paiement Effectif]]="","Non encore payée",IF(I765&lt;0,"Attention, paiement hors délais","OK RAS")))</f>
        <v/>
      </c>
      <c r="K765" s="74" t="n"/>
      <c r="L765" s="74" t="n"/>
      <c r="M765" s="74" t="n"/>
    </row>
    <row r="766" ht="14.25" customHeight="1">
      <c r="B766" s="80" t="n"/>
      <c r="D766" s="77" t="n"/>
      <c r="E766" s="46" t="n"/>
      <c r="F766" s="71" t="n"/>
      <c r="G766" s="91">
        <f>+IF(Tableau1[[#This Row],[Fournisseur]]="","",IFERROR(VLOOKUP(Tableau1[[#This Row],[Fournisseur]],SuiviFrs,2,FALSE),"Vérifier la syntaxe : Fournisseur introuvable au niveau du suivi des conventions"))</f>
        <v/>
      </c>
      <c r="H766" s="72">
        <f>++IF(Tableau1[[#This Row],[Fournisseur]]="","",C766+G766-1)</f>
        <v/>
      </c>
      <c r="I766" s="73">
        <f>++IF(Tableau1[[#This Row],[Fournisseur]]="","",IF(H766-Tableau1[[#This Row],[Date Paiement Effectif]]&gt;0," ",H766-Tableau1[[#This Row],[Date Paiement Effectif]]))</f>
        <v/>
      </c>
      <c r="J766" s="92">
        <f>++IF(Tableau1[[#This Row],[Fournisseur]]="","",IF(Tableau1[[#This Row],[Date Paiement Effectif]]="","Non encore payée",IF(I766&lt;0,"Attention, paiement hors délais","OK RAS")))</f>
        <v/>
      </c>
      <c r="K766" s="74" t="n"/>
      <c r="L766" s="74" t="n"/>
      <c r="M766" s="74" t="n"/>
    </row>
    <row r="767" ht="14.25" customHeight="1">
      <c r="B767" s="81" t="n"/>
      <c r="D767" s="77" t="n"/>
      <c r="E767" s="46" t="n"/>
      <c r="F767" s="75" t="n"/>
      <c r="G767" s="91">
        <f>+IF(Tableau1[[#This Row],[Fournisseur]]="","",IFERROR(VLOOKUP(Tableau1[[#This Row],[Fournisseur]],SuiviFrs,2,FALSE),"Vérifier la syntaxe : Fournisseur introuvable au niveau du suivi des conventions"))</f>
        <v/>
      </c>
      <c r="H767" s="72">
        <f>++IF(Tableau1[[#This Row],[Fournisseur]]="","",C767+G767-1)</f>
        <v/>
      </c>
      <c r="I767" s="73">
        <f>++IF(Tableau1[[#This Row],[Fournisseur]]="","",IF(H767-Tableau1[[#This Row],[Date Paiement Effectif]]&gt;0," ",H767-Tableau1[[#This Row],[Date Paiement Effectif]]))</f>
        <v/>
      </c>
      <c r="J767" s="92">
        <f>++IF(Tableau1[[#This Row],[Fournisseur]]="","",IF(Tableau1[[#This Row],[Date Paiement Effectif]]="","Non encore payée",IF(I767&lt;0,"Attention, paiement hors délais","OK RAS")))</f>
        <v/>
      </c>
      <c r="K767" s="76" t="n"/>
      <c r="L767" s="76" t="n"/>
      <c r="M767" s="74" t="n"/>
    </row>
    <row r="768" ht="14.25" customHeight="1">
      <c r="B768" s="80" t="n"/>
      <c r="D768" s="77" t="n"/>
      <c r="E768" s="46" t="n"/>
      <c r="F768" s="71" t="n"/>
      <c r="G768" s="91">
        <f>+IF(Tableau1[[#This Row],[Fournisseur]]="","",IFERROR(VLOOKUP(Tableau1[[#This Row],[Fournisseur]],SuiviFrs,2,FALSE),"Vérifier la syntaxe : Fournisseur introuvable au niveau du suivi des conventions"))</f>
        <v/>
      </c>
      <c r="H768" s="72">
        <f>++IF(Tableau1[[#This Row],[Fournisseur]]="","",C768+G768-1)</f>
        <v/>
      </c>
      <c r="I768" s="73">
        <f>++IF(Tableau1[[#This Row],[Fournisseur]]="","",IF(H768-Tableau1[[#This Row],[Date Paiement Effectif]]&gt;0," ",H768-Tableau1[[#This Row],[Date Paiement Effectif]]))</f>
        <v/>
      </c>
      <c r="J768" s="92">
        <f>++IF(Tableau1[[#This Row],[Fournisseur]]="","",IF(Tableau1[[#This Row],[Date Paiement Effectif]]="","Non encore payée",IF(I768&lt;0,"Attention, paiement hors délais","OK RAS")))</f>
        <v/>
      </c>
      <c r="K768" s="74" t="n"/>
      <c r="L768" s="74" t="n"/>
      <c r="M768" s="74" t="n"/>
    </row>
    <row r="769" ht="14.25" customHeight="1">
      <c r="B769" s="80" t="n"/>
      <c r="D769" s="77" t="n"/>
      <c r="E769" s="46" t="n"/>
      <c r="F769" s="71" t="n"/>
      <c r="G769" s="91">
        <f>+IF(Tableau1[[#This Row],[Fournisseur]]="","",IFERROR(VLOOKUP(Tableau1[[#This Row],[Fournisseur]],SuiviFrs,2,FALSE),"Vérifier la syntaxe : Fournisseur introuvable au niveau du suivi des conventions"))</f>
        <v/>
      </c>
      <c r="H769" s="72">
        <f>++IF(Tableau1[[#This Row],[Fournisseur]]="","",C769+G769-1)</f>
        <v/>
      </c>
      <c r="I769" s="73">
        <f>++IF(Tableau1[[#This Row],[Fournisseur]]="","",IF(H769-Tableau1[[#This Row],[Date Paiement Effectif]]&gt;0," ",H769-Tableau1[[#This Row],[Date Paiement Effectif]]))</f>
        <v/>
      </c>
      <c r="J769" s="92">
        <f>++IF(Tableau1[[#This Row],[Fournisseur]]="","",IF(Tableau1[[#This Row],[Date Paiement Effectif]]="","Non encore payée",IF(I769&lt;0,"Attention, paiement hors délais","OK RAS")))</f>
        <v/>
      </c>
      <c r="K769" s="74" t="n"/>
      <c r="L769" s="74" t="n"/>
      <c r="M769" s="74" t="n"/>
    </row>
    <row r="770" ht="14.25" customHeight="1">
      <c r="B770" s="80" t="n"/>
      <c r="D770" s="77" t="n"/>
      <c r="E770" s="46" t="n"/>
      <c r="F770" s="71" t="n"/>
      <c r="G770" s="91">
        <f>+IF(Tableau1[[#This Row],[Fournisseur]]="","",IFERROR(VLOOKUP(Tableau1[[#This Row],[Fournisseur]],SuiviFrs,2,FALSE),"Vérifier la syntaxe : Fournisseur introuvable au niveau du suivi des conventions"))</f>
        <v/>
      </c>
      <c r="H770" s="72">
        <f>++IF(Tableau1[[#This Row],[Fournisseur]]="","",C770+G770-1)</f>
        <v/>
      </c>
      <c r="I770" s="73">
        <f>++IF(Tableau1[[#This Row],[Fournisseur]]="","",IF(H770-Tableau1[[#This Row],[Date Paiement Effectif]]&gt;0," ",H770-Tableau1[[#This Row],[Date Paiement Effectif]]))</f>
        <v/>
      </c>
      <c r="J770" s="92">
        <f>++IF(Tableau1[[#This Row],[Fournisseur]]="","",IF(Tableau1[[#This Row],[Date Paiement Effectif]]="","Non encore payée",IF(I770&lt;0,"Attention, paiement hors délais","OK RAS")))</f>
        <v/>
      </c>
      <c r="K770" s="74" t="n"/>
      <c r="L770" s="74" t="n"/>
      <c r="M770" s="74" t="n"/>
    </row>
    <row r="771" ht="14.25" customHeight="1">
      <c r="B771" s="80" t="n"/>
      <c r="D771" s="77" t="n"/>
      <c r="E771" s="46" t="n"/>
      <c r="F771" s="71" t="n"/>
      <c r="G771" s="91">
        <f>+IF(Tableau1[[#This Row],[Fournisseur]]="","",IFERROR(VLOOKUP(Tableau1[[#This Row],[Fournisseur]],SuiviFrs,2,FALSE),"Vérifier la syntaxe : Fournisseur introuvable au niveau du suivi des conventions"))</f>
        <v/>
      </c>
      <c r="H771" s="72">
        <f>++IF(Tableau1[[#This Row],[Fournisseur]]="","",C771+G771-1)</f>
        <v/>
      </c>
      <c r="I771" s="73">
        <f>++IF(Tableau1[[#This Row],[Fournisseur]]="","",IF(H771-Tableau1[[#This Row],[Date Paiement Effectif]]&gt;0," ",H771-Tableau1[[#This Row],[Date Paiement Effectif]]))</f>
        <v/>
      </c>
      <c r="J771" s="92">
        <f>++IF(Tableau1[[#This Row],[Fournisseur]]="","",IF(Tableau1[[#This Row],[Date Paiement Effectif]]="","Non encore payée",IF(I771&lt;0,"Attention, paiement hors délais","OK RAS")))</f>
        <v/>
      </c>
      <c r="K771" s="74" t="n"/>
      <c r="L771" s="74" t="n"/>
      <c r="M771" s="74" t="n"/>
    </row>
    <row r="772" ht="14.25" customHeight="1">
      <c r="B772" s="80" t="n"/>
      <c r="D772" s="77" t="n"/>
      <c r="E772" s="46" t="n"/>
      <c r="F772" s="71" t="n"/>
      <c r="G772" s="91">
        <f>+IF(Tableau1[[#This Row],[Fournisseur]]="","",IFERROR(VLOOKUP(Tableau1[[#This Row],[Fournisseur]],SuiviFrs,2,FALSE),"Vérifier la syntaxe : Fournisseur introuvable au niveau du suivi des conventions"))</f>
        <v/>
      </c>
      <c r="H772" s="72">
        <f>++IF(Tableau1[[#This Row],[Fournisseur]]="","",C772+G772-1)</f>
        <v/>
      </c>
      <c r="I772" s="73">
        <f>++IF(Tableau1[[#This Row],[Fournisseur]]="","",IF(H772-Tableau1[[#This Row],[Date Paiement Effectif]]&gt;0," ",H772-Tableau1[[#This Row],[Date Paiement Effectif]]))</f>
        <v/>
      </c>
      <c r="J772" s="92">
        <f>++IF(Tableau1[[#This Row],[Fournisseur]]="","",IF(Tableau1[[#This Row],[Date Paiement Effectif]]="","Non encore payée",IF(I772&lt;0,"Attention, paiement hors délais","OK RAS")))</f>
        <v/>
      </c>
      <c r="K772" s="74" t="n"/>
      <c r="L772" s="74" t="n"/>
      <c r="M772" s="74" t="n"/>
    </row>
    <row r="773" ht="14.25" customHeight="1">
      <c r="B773" s="80" t="n"/>
      <c r="D773" s="77" t="n"/>
      <c r="E773" s="46" t="n"/>
      <c r="F773" s="71" t="n"/>
      <c r="G773" s="91">
        <f>+IF(Tableau1[[#This Row],[Fournisseur]]="","",IFERROR(VLOOKUP(Tableau1[[#This Row],[Fournisseur]],SuiviFrs,2,FALSE),"Vérifier la syntaxe : Fournisseur introuvable au niveau du suivi des conventions"))</f>
        <v/>
      </c>
      <c r="H773" s="72">
        <f>++IF(Tableau1[[#This Row],[Fournisseur]]="","",C773+G773-1)</f>
        <v/>
      </c>
      <c r="I773" s="73">
        <f>++IF(Tableau1[[#This Row],[Fournisseur]]="","",IF(H773-Tableau1[[#This Row],[Date Paiement Effectif]]&gt;0," ",H773-Tableau1[[#This Row],[Date Paiement Effectif]]))</f>
        <v/>
      </c>
      <c r="J773" s="92">
        <f>++IF(Tableau1[[#This Row],[Fournisseur]]="","",IF(Tableau1[[#This Row],[Date Paiement Effectif]]="","Non encore payée",IF(I773&lt;0,"Attention, paiement hors délais","OK RAS")))</f>
        <v/>
      </c>
      <c r="K773" s="74" t="n"/>
      <c r="L773" s="74" t="n"/>
      <c r="M773" s="74" t="n"/>
    </row>
    <row r="774" ht="14.25" customHeight="1">
      <c r="B774" s="80" t="n"/>
      <c r="D774" s="77" t="n"/>
      <c r="E774" s="46" t="n"/>
      <c r="F774" s="71" t="n"/>
      <c r="G774" s="91">
        <f>+IF(Tableau1[[#This Row],[Fournisseur]]="","",IFERROR(VLOOKUP(Tableau1[[#This Row],[Fournisseur]],SuiviFrs,2,FALSE),"Vérifier la syntaxe : Fournisseur introuvable au niveau du suivi des conventions"))</f>
        <v/>
      </c>
      <c r="H774" s="72">
        <f>++IF(Tableau1[[#This Row],[Fournisseur]]="","",C774+G774-1)</f>
        <v/>
      </c>
      <c r="I774" s="73">
        <f>++IF(Tableau1[[#This Row],[Fournisseur]]="","",IF(H774-Tableau1[[#This Row],[Date Paiement Effectif]]&gt;0," ",H774-Tableau1[[#This Row],[Date Paiement Effectif]]))</f>
        <v/>
      </c>
      <c r="J774" s="92">
        <f>++IF(Tableau1[[#This Row],[Fournisseur]]="","",IF(Tableau1[[#This Row],[Date Paiement Effectif]]="","Non encore payée",IF(I774&lt;0,"Attention, paiement hors délais","OK RAS")))</f>
        <v/>
      </c>
      <c r="K774" s="74" t="n"/>
      <c r="L774" s="74" t="n"/>
      <c r="M774" s="74" t="n"/>
    </row>
    <row r="775" ht="14.25" customHeight="1">
      <c r="B775" s="81" t="n"/>
      <c r="D775" s="77" t="n"/>
      <c r="E775" s="46" t="n"/>
      <c r="F775" s="75" t="n"/>
      <c r="G775" s="91">
        <f>+IF(Tableau1[[#This Row],[Fournisseur]]="","",IFERROR(VLOOKUP(Tableau1[[#This Row],[Fournisseur]],SuiviFrs,2,FALSE),"Vérifier la syntaxe : Fournisseur introuvable au niveau du suivi des conventions"))</f>
        <v/>
      </c>
      <c r="H775" s="72">
        <f>++IF(Tableau1[[#This Row],[Fournisseur]]="","",C775+G775-1)</f>
        <v/>
      </c>
      <c r="I775" s="73">
        <f>++IF(Tableau1[[#This Row],[Fournisseur]]="","",IF(H775-Tableau1[[#This Row],[Date Paiement Effectif]]&gt;0," ",H775-Tableau1[[#This Row],[Date Paiement Effectif]]))</f>
        <v/>
      </c>
      <c r="J775" s="92">
        <f>++IF(Tableau1[[#This Row],[Fournisseur]]="","",IF(Tableau1[[#This Row],[Date Paiement Effectif]]="","Non encore payée",IF(I775&lt;0,"Attention, paiement hors délais","OK RAS")))</f>
        <v/>
      </c>
      <c r="K775" s="76" t="n"/>
      <c r="L775" s="76" t="n"/>
      <c r="M775" s="74" t="n"/>
    </row>
    <row r="776" ht="14.25" customHeight="1">
      <c r="B776" s="81" t="n"/>
      <c r="D776" s="77" t="n"/>
      <c r="E776" s="46" t="n"/>
      <c r="F776" s="75" t="n"/>
      <c r="G776" s="91">
        <f>+IF(Tableau1[[#This Row],[Fournisseur]]="","",IFERROR(VLOOKUP(Tableau1[[#This Row],[Fournisseur]],SuiviFrs,2,FALSE),"Vérifier la syntaxe : Fournisseur introuvable au niveau du suivi des conventions"))</f>
        <v/>
      </c>
      <c r="H776" s="72">
        <f>++IF(Tableau1[[#This Row],[Fournisseur]]="","",C776+G776-1)</f>
        <v/>
      </c>
      <c r="I776" s="73">
        <f>++IF(Tableau1[[#This Row],[Fournisseur]]="","",IF(H776-Tableau1[[#This Row],[Date Paiement Effectif]]&gt;0," ",H776-Tableau1[[#This Row],[Date Paiement Effectif]]))</f>
        <v/>
      </c>
      <c r="J776" s="92">
        <f>++IF(Tableau1[[#This Row],[Fournisseur]]="","",IF(Tableau1[[#This Row],[Date Paiement Effectif]]="","Non encore payée",IF(I776&lt;0,"Attention, paiement hors délais","OK RAS")))</f>
        <v/>
      </c>
      <c r="K776" s="76" t="n"/>
      <c r="L776" s="76" t="n"/>
      <c r="M776" s="74" t="n"/>
    </row>
    <row r="777" ht="14.25" customHeight="1">
      <c r="B777" s="81" t="n"/>
      <c r="D777" s="77" t="n"/>
      <c r="E777" s="46" t="n"/>
      <c r="F777" s="75" t="n"/>
      <c r="G777" s="91">
        <f>+IF(Tableau1[[#This Row],[Fournisseur]]="","",IFERROR(VLOOKUP(Tableau1[[#This Row],[Fournisseur]],SuiviFrs,2,FALSE),"Vérifier la syntaxe : Fournisseur introuvable au niveau du suivi des conventions"))</f>
        <v/>
      </c>
      <c r="H777" s="72">
        <f>++IF(Tableau1[[#This Row],[Fournisseur]]="","",C777+G777-1)</f>
        <v/>
      </c>
      <c r="I777" s="73">
        <f>++IF(Tableau1[[#This Row],[Fournisseur]]="","",IF(H777-Tableau1[[#This Row],[Date Paiement Effectif]]&gt;0," ",H777-Tableau1[[#This Row],[Date Paiement Effectif]]))</f>
        <v/>
      </c>
      <c r="J777" s="92">
        <f>++IF(Tableau1[[#This Row],[Fournisseur]]="","",IF(Tableau1[[#This Row],[Date Paiement Effectif]]="","Non encore payée",IF(I777&lt;0,"Attention, paiement hors délais","OK RAS")))</f>
        <v/>
      </c>
      <c r="K777" s="90" t="n">
        <v>46035</v>
      </c>
      <c r="L777" s="90" t="n"/>
      <c r="M777" s="74" t="n"/>
    </row>
    <row r="778" ht="14.25" customHeight="1">
      <c r="B778" s="80" t="n"/>
      <c r="D778" s="77" t="n"/>
      <c r="E778" s="46" t="n"/>
      <c r="F778" s="71" t="n"/>
      <c r="G778" s="91">
        <f>+IF(Tableau1[[#This Row],[Fournisseur]]="","",IFERROR(VLOOKUP(Tableau1[[#This Row],[Fournisseur]],SuiviFrs,2,FALSE),"Vérifier la syntaxe : Fournisseur introuvable au niveau du suivi des conventions"))</f>
        <v/>
      </c>
      <c r="H778" s="72">
        <f>++IF(Tableau1[[#This Row],[Fournisseur]]="","",C778+G778-1)</f>
        <v/>
      </c>
      <c r="I778" s="73">
        <f>++IF(Tableau1[[#This Row],[Fournisseur]]="","",IF(H778-Tableau1[[#This Row],[Date Paiement Effectif]]&gt;0," ",H778-Tableau1[[#This Row],[Date Paiement Effectif]]))</f>
        <v/>
      </c>
      <c r="J778" s="92">
        <f>++IF(Tableau1[[#This Row],[Fournisseur]]="","",IF(Tableau1[[#This Row],[Date Paiement Effectif]]="","Non encore payée",IF(I778&lt;0,"Attention, paiement hors délais","OK RAS")))</f>
        <v/>
      </c>
      <c r="K778" s="89" t="n">
        <v>46346</v>
      </c>
      <c r="L778" s="89" t="n"/>
      <c r="M778" s="74" t="n"/>
    </row>
    <row r="779" ht="14.25" customHeight="1">
      <c r="B779" s="80" t="n"/>
      <c r="D779" s="77" t="n"/>
      <c r="E779" s="46" t="n"/>
      <c r="F779" s="71" t="n"/>
      <c r="G779" s="91">
        <f>+IF(Tableau1[[#This Row],[Fournisseur]]="","",IFERROR(VLOOKUP(Tableau1[[#This Row],[Fournisseur]],SuiviFrs,2,FALSE),"Vérifier la syntaxe : Fournisseur introuvable au niveau du suivi des conventions"))</f>
        <v/>
      </c>
      <c r="H779" s="72">
        <f>++IF(Tableau1[[#This Row],[Fournisseur]]="","",C779+G779-1)</f>
        <v/>
      </c>
      <c r="I779" s="73">
        <f>++IF(Tableau1[[#This Row],[Fournisseur]]="","",IF(H779-Tableau1[[#This Row],[Date Paiement Effectif]]&gt;0," ",H779-Tableau1[[#This Row],[Date Paiement Effectif]]))</f>
        <v/>
      </c>
      <c r="J779" s="92">
        <f>++IF(Tableau1[[#This Row],[Fournisseur]]="","",IF(Tableau1[[#This Row],[Date Paiement Effectif]]="","Non encore payée",IF(I779&lt;0,"Attention, paiement hors délais","OK RAS")))</f>
        <v/>
      </c>
      <c r="K779" s="89" t="n">
        <v>46080</v>
      </c>
      <c r="L779" s="89" t="n"/>
      <c r="M779" s="74" t="n"/>
    </row>
    <row r="780" ht="14.25" customHeight="1">
      <c r="B780" s="80" t="n"/>
      <c r="D780" s="77" t="n"/>
      <c r="E780" s="46" t="n"/>
      <c r="F780" s="71" t="n"/>
      <c r="G780" s="91">
        <f>+IF(Tableau1[[#This Row],[Fournisseur]]="","",IFERROR(VLOOKUP(Tableau1[[#This Row],[Fournisseur]],SuiviFrs,2,FALSE),"Vérifier la syntaxe : Fournisseur introuvable au niveau du suivi des conventions"))</f>
        <v/>
      </c>
      <c r="H780" s="72">
        <f>++IF(Tableau1[[#This Row],[Fournisseur]]="","",C780+G780-1)</f>
        <v/>
      </c>
      <c r="I780" s="73">
        <f>++IF(Tableau1[[#This Row],[Fournisseur]]="","",IF(H780-Tableau1[[#This Row],[Date Paiement Effectif]]&gt;0," ",H780-Tableau1[[#This Row],[Date Paiement Effectif]]))</f>
        <v/>
      </c>
      <c r="J780" s="92">
        <f>++IF(Tableau1[[#This Row],[Fournisseur]]="","",IF(Tableau1[[#This Row],[Date Paiement Effectif]]="","Non encore payée",IF(I780&lt;0,"Attention, paiement hors délais","OK RAS")))</f>
        <v/>
      </c>
      <c r="K780" s="89" t="n">
        <v>46080</v>
      </c>
      <c r="L780" s="89" t="n"/>
      <c r="M780" s="74" t="n"/>
    </row>
    <row r="781" ht="14.25" customHeight="1">
      <c r="B781" s="81" t="n"/>
      <c r="D781" s="77" t="n"/>
      <c r="E781" s="46" t="n"/>
      <c r="F781" s="75" t="n"/>
      <c r="G781" s="91">
        <f>+IF(Tableau1[[#This Row],[Fournisseur]]="","",IFERROR(VLOOKUP(Tableau1[[#This Row],[Fournisseur]],SuiviFrs,2,FALSE),"Vérifier la syntaxe : Fournisseur introuvable au niveau du suivi des conventions"))</f>
        <v/>
      </c>
      <c r="H781" s="72">
        <f>++IF(Tableau1[[#This Row],[Fournisseur]]="","",C781+G781-1)</f>
        <v/>
      </c>
      <c r="I781" s="73">
        <f>++IF(Tableau1[[#This Row],[Fournisseur]]="","",IF(H781-Tableau1[[#This Row],[Date Paiement Effectif]]&gt;0," ",H781-Tableau1[[#This Row],[Date Paiement Effectif]]))</f>
        <v/>
      </c>
      <c r="J781" s="92">
        <f>++IF(Tableau1[[#This Row],[Fournisseur]]="","",IF(Tableau1[[#This Row],[Date Paiement Effectif]]="","Non encore payée",IF(I781&lt;0,"Attention, paiement hors délais","OK RAS")))</f>
        <v/>
      </c>
      <c r="K781" s="89" t="n">
        <v>46080</v>
      </c>
      <c r="L781" s="89" t="n"/>
      <c r="M781" s="74" t="n"/>
    </row>
    <row r="782" ht="14.25" customHeight="1">
      <c r="B782" s="80" t="n"/>
      <c r="D782" s="77" t="n"/>
      <c r="E782" s="46" t="n"/>
      <c r="F782" s="71" t="n"/>
      <c r="G782" s="91">
        <f>+IF(Tableau1[[#This Row],[Fournisseur]]="","",IFERROR(VLOOKUP(Tableau1[[#This Row],[Fournisseur]],SuiviFrs,2,FALSE),"Vérifier la syntaxe : Fournisseur introuvable au niveau du suivi des conventions"))</f>
        <v/>
      </c>
      <c r="H782" s="72">
        <f>++IF(Tableau1[[#This Row],[Fournisseur]]="","",C782+G782-1)</f>
        <v/>
      </c>
      <c r="I782" s="73">
        <f>++IF(Tableau1[[#This Row],[Fournisseur]]="","",IF(H782-Tableau1[[#This Row],[Date Paiement Effectif]]&gt;0," ",H782-Tableau1[[#This Row],[Date Paiement Effectif]]))</f>
        <v/>
      </c>
      <c r="J782" s="92">
        <f>++IF(Tableau1[[#This Row],[Fournisseur]]="","",IF(Tableau1[[#This Row],[Date Paiement Effectif]]="","Non encore payée",IF(I782&lt;0,"Attention, paiement hors délais","OK RAS")))</f>
        <v/>
      </c>
      <c r="K782" s="74" t="n"/>
      <c r="L782" s="74" t="n"/>
      <c r="M782" s="74" t="n"/>
    </row>
    <row r="783" ht="14.25" customHeight="1">
      <c r="B783" s="81" t="n"/>
      <c r="D783" s="77" t="n"/>
      <c r="E783" s="46" t="n"/>
      <c r="F783" s="75" t="n"/>
      <c r="G783" s="91">
        <f>+IF(Tableau1[[#This Row],[Fournisseur]]="","",IFERROR(VLOOKUP(Tableau1[[#This Row],[Fournisseur]],SuiviFrs,2,FALSE),"Vérifier la syntaxe : Fournisseur introuvable au niveau du suivi des conventions"))</f>
        <v/>
      </c>
      <c r="H783" s="72">
        <f>++IF(Tableau1[[#This Row],[Fournisseur]]="","",C783+G783-1)</f>
        <v/>
      </c>
      <c r="I783" s="73">
        <f>++IF(Tableau1[[#This Row],[Fournisseur]]="","",IF(H783-Tableau1[[#This Row],[Date Paiement Effectif]]&gt;0," ",H783-Tableau1[[#This Row],[Date Paiement Effectif]]))</f>
        <v/>
      </c>
      <c r="J783" s="92">
        <f>++IF(Tableau1[[#This Row],[Fournisseur]]="","",IF(Tableau1[[#This Row],[Date Paiement Effectif]]="","Non encore payée",IF(I783&lt;0,"Attention, paiement hors délais","OK RAS")))</f>
        <v/>
      </c>
      <c r="K783" s="90" t="n">
        <v>46060</v>
      </c>
      <c r="L783" s="90" t="n"/>
      <c r="M783" s="74" t="n"/>
    </row>
  </sheetData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0"/>
  <sheetViews>
    <sheetView showGridLines="0" zoomScaleNormal="100" workbookViewId="0">
      <selection activeCell="B9" sqref="B9"/>
    </sheetView>
  </sheetViews>
  <sheetFormatPr baseColWidth="10" defaultColWidth="8.54296875" defaultRowHeight="14.5"/>
  <cols>
    <col width="19.54296875" customWidth="1" style="48" min="1" max="1"/>
    <col width="30" customWidth="1" style="48" min="2" max="2"/>
    <col width="17.54296875" customWidth="1" style="49" min="3" max="3"/>
    <col width="35" customWidth="1" style="48" min="4" max="4"/>
  </cols>
  <sheetData>
    <row r="1" ht="22.5" customHeight="1">
      <c r="A1" s="50" t="inlineStr">
        <is>
          <t>BASE FOURNISSEURS PERMANENTE :</t>
        </is>
      </c>
      <c r="B1" s="51" t="n"/>
      <c r="C1" s="52" t="n"/>
      <c r="D1" s="51" t="n"/>
    </row>
    <row r="2" ht="15" customHeight="1">
      <c r="C2" s="45" t="n"/>
    </row>
    <row r="3" ht="15" customHeight="1">
      <c r="A3" s="53" t="inlineStr">
        <is>
          <t>N° Fournisseur</t>
        </is>
      </c>
      <c r="B3" s="53" t="inlineStr">
        <is>
          <t>Nom Fournisseur</t>
        </is>
      </c>
      <c r="C3" s="53" t="inlineStr">
        <is>
          <t>Délai (jours)</t>
        </is>
      </c>
      <c r="D3" s="53" t="inlineStr">
        <is>
          <t>Observations</t>
        </is>
      </c>
    </row>
    <row r="4" ht="15" customHeight="1">
      <c r="A4" s="46" t="n"/>
      <c r="B4" s="46" t="n"/>
      <c r="C4" s="47" t="n"/>
      <c r="D4" s="46" t="n"/>
    </row>
    <row r="5" ht="15" customHeight="1">
      <c r="A5" s="46" t="n"/>
      <c r="B5" s="46" t="n"/>
      <c r="C5" s="47" t="n"/>
      <c r="D5" s="46" t="n"/>
    </row>
    <row r="6" ht="15" customHeight="1">
      <c r="A6" s="46" t="n"/>
      <c r="B6" s="46" t="n"/>
      <c r="C6" s="47" t="n"/>
      <c r="D6" s="46" t="n"/>
    </row>
    <row r="7">
      <c r="A7" s="46" t="n"/>
      <c r="B7" s="46" t="n"/>
      <c r="C7" s="47" t="n"/>
      <c r="D7" s="46" t="n"/>
    </row>
    <row r="8">
      <c r="A8" s="46" t="n"/>
      <c r="B8" s="46" t="n"/>
      <c r="C8" s="47" t="n"/>
      <c r="D8" s="46" t="n"/>
    </row>
    <row r="9">
      <c r="A9" s="46" t="n"/>
      <c r="B9" s="46" t="n"/>
      <c r="C9" s="47" t="n"/>
      <c r="D9" s="46" t="n"/>
    </row>
    <row r="10">
      <c r="A10" s="46" t="n"/>
      <c r="B10" s="46" t="n"/>
      <c r="C10" s="47" t="n"/>
      <c r="D10" s="46" t="n"/>
    </row>
    <row r="11">
      <c r="A11" s="46" t="n"/>
      <c r="B11" s="46" t="n"/>
      <c r="C11" s="47" t="n"/>
      <c r="D11" s="46" t="n"/>
    </row>
    <row r="12">
      <c r="A12" s="46" t="n"/>
      <c r="B12" s="46" t="n"/>
      <c r="C12" s="47" t="n"/>
      <c r="D12" s="46" t="n"/>
    </row>
    <row r="13">
      <c r="A13" s="46" t="n"/>
      <c r="B13" s="46" t="n"/>
      <c r="C13" s="47" t="n"/>
      <c r="D13" s="46" t="n"/>
    </row>
    <row r="14">
      <c r="A14" s="46" t="n"/>
      <c r="B14" s="46" t="n"/>
      <c r="C14" s="47" t="n"/>
      <c r="D14" s="46" t="n"/>
    </row>
    <row r="15">
      <c r="A15" s="46" t="n"/>
      <c r="B15" s="46" t="n"/>
      <c r="C15" s="47" t="n"/>
      <c r="D15" s="46" t="n"/>
    </row>
    <row r="16">
      <c r="A16" s="46" t="n"/>
      <c r="B16" s="46" t="n"/>
      <c r="C16" s="47" t="n"/>
      <c r="D16" s="46" t="n"/>
    </row>
    <row r="17">
      <c r="A17" s="46" t="n"/>
      <c r="B17" s="46" t="n"/>
      <c r="C17" s="47" t="n"/>
      <c r="D17" s="46" t="n"/>
    </row>
    <row r="18">
      <c r="A18" s="46" t="n"/>
      <c r="B18" s="46" t="n"/>
      <c r="C18" s="47" t="n"/>
      <c r="D18" s="46" t="n"/>
    </row>
    <row r="19">
      <c r="A19" s="46" t="n"/>
      <c r="B19" s="46" t="n"/>
      <c r="C19" s="47" t="n"/>
      <c r="D19" s="46" t="n"/>
    </row>
    <row r="20">
      <c r="A20" s="46" t="n"/>
      <c r="B20" s="46" t="n"/>
      <c r="C20" s="47" t="n"/>
      <c r="D20" s="46" t="n"/>
    </row>
    <row r="21">
      <c r="A21" s="46" t="n"/>
      <c r="B21" s="46" t="n"/>
      <c r="C21" s="47" t="n"/>
      <c r="D21" s="46" t="n"/>
    </row>
    <row r="22">
      <c r="A22" s="46" t="n"/>
      <c r="B22" s="46" t="n"/>
      <c r="C22" s="47" t="n"/>
      <c r="D22" s="46" t="n"/>
    </row>
    <row r="23">
      <c r="A23" s="46" t="n"/>
      <c r="B23" s="46" t="n"/>
      <c r="C23" s="47" t="n"/>
      <c r="D23" s="46" t="n"/>
    </row>
    <row r="24">
      <c r="A24" s="46" t="n"/>
      <c r="B24" s="46" t="n"/>
      <c r="C24" s="47" t="n"/>
      <c r="D24" s="46" t="n"/>
    </row>
    <row r="25">
      <c r="A25" s="46" t="n"/>
      <c r="B25" s="46" t="n"/>
      <c r="C25" s="47" t="n"/>
      <c r="D25" s="46" t="n"/>
    </row>
    <row r="26">
      <c r="A26" s="46" t="n"/>
      <c r="B26" s="46" t="n"/>
      <c r="C26" s="47" t="n"/>
      <c r="D26" s="46" t="n"/>
    </row>
    <row r="27">
      <c r="A27" s="46" t="n"/>
      <c r="B27" s="46" t="n"/>
      <c r="C27" s="47" t="n"/>
      <c r="D27" s="46" t="n"/>
    </row>
    <row r="28">
      <c r="A28" s="46" t="n"/>
      <c r="B28" s="46" t="n"/>
      <c r="C28" s="47" t="n"/>
      <c r="D28" s="46" t="n"/>
    </row>
    <row r="29">
      <c r="A29" s="46" t="n"/>
      <c r="B29" s="46" t="n"/>
      <c r="C29" s="47" t="n"/>
      <c r="D29" s="46" t="n"/>
    </row>
    <row r="30">
      <c r="A30" s="46" t="n"/>
      <c r="B30" s="46" t="n"/>
      <c r="C30" s="47" t="n"/>
      <c r="D30" s="46" t="n"/>
    </row>
    <row r="31">
      <c r="A31" s="46" t="n"/>
      <c r="B31" s="46" t="n"/>
      <c r="C31" s="47" t="n"/>
      <c r="D31" s="46" t="n"/>
    </row>
    <row r="32">
      <c r="A32" s="46" t="n"/>
      <c r="B32" s="46" t="n"/>
      <c r="C32" s="47" t="n"/>
      <c r="D32" s="46" t="n"/>
    </row>
    <row r="33">
      <c r="A33" s="46" t="n"/>
      <c r="B33" s="46" t="n"/>
      <c r="C33" s="47" t="n"/>
      <c r="D33" s="46" t="n"/>
    </row>
    <row r="34">
      <c r="A34" s="46" t="n"/>
      <c r="B34" s="46" t="n"/>
      <c r="C34" s="47" t="n"/>
      <c r="D34" s="46" t="n"/>
    </row>
    <row r="35">
      <c r="A35" s="46" t="n"/>
      <c r="B35" s="46" t="n"/>
      <c r="C35" s="47" t="n"/>
      <c r="D35" s="46" t="n"/>
    </row>
    <row r="36">
      <c r="A36" s="46" t="n"/>
      <c r="B36" s="46" t="n"/>
      <c r="C36" s="47" t="n"/>
      <c r="D36" s="46" t="n"/>
    </row>
    <row r="37">
      <c r="A37" s="46" t="n"/>
      <c r="B37" s="46" t="n"/>
      <c r="C37" s="47" t="n"/>
      <c r="D37" s="46" t="n"/>
    </row>
    <row r="38">
      <c r="A38" s="46" t="n"/>
      <c r="B38" s="46" t="n"/>
      <c r="C38" s="47" t="n"/>
      <c r="D38" s="46" t="n"/>
    </row>
    <row r="39">
      <c r="A39" s="46" t="n"/>
      <c r="B39" s="46" t="n"/>
      <c r="C39" s="47" t="n"/>
      <c r="D39" s="46" t="n"/>
    </row>
    <row r="40">
      <c r="A40" s="46" t="n"/>
      <c r="B40" s="46" t="n"/>
      <c r="C40" s="47" t="n"/>
      <c r="D40" s="46" t="n"/>
    </row>
    <row r="41">
      <c r="A41" s="46" t="n"/>
      <c r="B41" s="46" t="n"/>
      <c r="C41" s="47" t="n"/>
      <c r="D41" s="46" t="n"/>
    </row>
    <row r="42">
      <c r="A42" s="46" t="n"/>
      <c r="B42" s="46" t="n"/>
      <c r="C42" s="47" t="n"/>
      <c r="D42" s="46" t="n"/>
    </row>
    <row r="43">
      <c r="A43" s="46" t="n"/>
      <c r="B43" s="46" t="n"/>
      <c r="C43" s="47" t="n"/>
      <c r="D43" s="46" t="n"/>
    </row>
    <row r="44">
      <c r="A44" s="46" t="n"/>
      <c r="B44" s="46" t="n"/>
      <c r="C44" s="47" t="n"/>
      <c r="D44" s="46" t="n"/>
    </row>
    <row r="45">
      <c r="A45" s="46" t="n"/>
      <c r="B45" s="46" t="n"/>
      <c r="C45" s="47" t="n"/>
      <c r="D45" s="46" t="n"/>
    </row>
    <row r="46">
      <c r="A46" s="46" t="n"/>
      <c r="B46" s="46" t="n"/>
      <c r="C46" s="47" t="n"/>
      <c r="D46" s="46" t="n"/>
    </row>
    <row r="47">
      <c r="A47" s="46" t="n"/>
      <c r="B47" s="46" t="n"/>
      <c r="C47" s="47" t="n"/>
      <c r="D47" s="46" t="n"/>
    </row>
    <row r="48">
      <c r="A48" s="46" t="n"/>
      <c r="B48" s="46" t="n"/>
      <c r="C48" s="47" t="n"/>
      <c r="D48" s="46" t="n"/>
    </row>
    <row r="49">
      <c r="A49" s="46" t="n"/>
      <c r="B49" s="46" t="n"/>
      <c r="C49" s="47" t="n"/>
      <c r="D49" s="46" t="n"/>
    </row>
    <row r="50">
      <c r="A50" s="46" t="n"/>
      <c r="B50" s="46" t="n"/>
      <c r="C50" s="47" t="n"/>
      <c r="D50" s="46" t="n"/>
    </row>
    <row r="51">
      <c r="A51" s="46" t="n"/>
      <c r="B51" s="46" t="n"/>
      <c r="C51" s="47" t="n"/>
      <c r="D51" s="46" t="n"/>
    </row>
    <row r="52">
      <c r="A52" s="46" t="n"/>
      <c r="B52" s="46" t="n"/>
      <c r="C52" s="47" t="n"/>
      <c r="D52" s="46" t="n"/>
    </row>
    <row r="53">
      <c r="A53" s="46" t="n"/>
      <c r="B53" s="46" t="n"/>
      <c r="C53" s="47" t="n"/>
      <c r="D53" s="46" t="n"/>
    </row>
    <row r="54">
      <c r="A54" s="46" t="n"/>
      <c r="B54" s="46" t="n"/>
      <c r="C54" s="47" t="n"/>
      <c r="D54" s="46" t="n"/>
    </row>
    <row r="55">
      <c r="A55" s="46" t="n"/>
      <c r="B55" s="46" t="n"/>
      <c r="C55" s="47" t="n"/>
      <c r="D55" s="46" t="n"/>
    </row>
    <row r="56">
      <c r="A56" s="46" t="n"/>
      <c r="B56" s="46" t="n"/>
      <c r="C56" s="47" t="n"/>
      <c r="D56" s="46" t="n"/>
    </row>
    <row r="57">
      <c r="A57" s="46" t="n"/>
      <c r="B57" s="46" t="n"/>
      <c r="C57" s="47" t="n"/>
      <c r="D57" s="46" t="n"/>
    </row>
    <row r="58">
      <c r="A58" s="46" t="n"/>
      <c r="B58" s="46" t="n"/>
      <c r="C58" s="47" t="n"/>
      <c r="D58" s="46" t="n"/>
    </row>
    <row r="59">
      <c r="A59" s="46" t="n"/>
      <c r="B59" s="46" t="n"/>
      <c r="C59" s="47" t="n"/>
      <c r="D59" s="46" t="n"/>
    </row>
    <row r="60">
      <c r="A60" s="46" t="n"/>
      <c r="B60" s="46" t="n"/>
      <c r="C60" s="47" t="n"/>
      <c r="D60" s="46" t="n"/>
    </row>
    <row r="61">
      <c r="A61" s="46" t="n"/>
      <c r="B61" s="46" t="n"/>
      <c r="C61" s="47" t="n"/>
      <c r="D61" s="46" t="n"/>
    </row>
    <row r="62">
      <c r="A62" s="46" t="n"/>
      <c r="B62" s="46" t="n"/>
      <c r="C62" s="47" t="n"/>
      <c r="D62" s="46" t="n"/>
    </row>
    <row r="63">
      <c r="A63" s="46" t="n"/>
      <c r="B63" s="46" t="n"/>
      <c r="C63" s="47" t="n"/>
      <c r="D63" s="46" t="n"/>
    </row>
    <row r="64">
      <c r="A64" s="46" t="n"/>
      <c r="B64" s="46" t="n"/>
      <c r="C64" s="47" t="n"/>
      <c r="D64" s="46" t="n"/>
    </row>
    <row r="65">
      <c r="A65" s="46" t="n"/>
      <c r="B65" s="46" t="n"/>
      <c r="C65" s="47" t="n"/>
      <c r="D65" s="46" t="n"/>
    </row>
    <row r="66">
      <c r="A66" s="46" t="n"/>
      <c r="B66" s="46" t="n"/>
      <c r="C66" s="47" t="n"/>
      <c r="D66" s="46" t="n"/>
    </row>
    <row r="67">
      <c r="A67" s="46" t="n"/>
      <c r="B67" s="46" t="n"/>
      <c r="C67" s="47" t="n"/>
      <c r="D67" s="46" t="n"/>
    </row>
    <row r="68">
      <c r="A68" s="46" t="n"/>
      <c r="B68" s="46" t="n"/>
      <c r="C68" s="47" t="n"/>
      <c r="D68" s="46" t="n"/>
    </row>
    <row r="69">
      <c r="A69" s="46" t="n"/>
      <c r="B69" s="46" t="n"/>
      <c r="C69" s="47" t="n"/>
      <c r="D69" s="46" t="n"/>
    </row>
    <row r="70">
      <c r="A70" s="46" t="n"/>
      <c r="B70" s="46" t="n"/>
      <c r="C70" s="47" t="n"/>
      <c r="D70" s="46" t="n"/>
    </row>
    <row r="71">
      <c r="A71" s="46" t="n"/>
      <c r="B71" s="46" t="n"/>
      <c r="C71" s="47" t="n"/>
      <c r="D71" s="46" t="n"/>
    </row>
    <row r="72">
      <c r="A72" s="46" t="n"/>
      <c r="B72" s="46" t="n"/>
      <c r="C72" s="47" t="n"/>
      <c r="D72" s="46" t="n"/>
    </row>
    <row r="73">
      <c r="A73" s="46" t="n"/>
      <c r="B73" s="46" t="n"/>
      <c r="C73" s="47" t="n"/>
      <c r="D73" s="46" t="n"/>
    </row>
    <row r="74">
      <c r="A74" s="46" t="n"/>
      <c r="B74" s="46" t="n"/>
      <c r="C74" s="47" t="n"/>
      <c r="D74" s="46" t="n"/>
    </row>
    <row r="75">
      <c r="A75" s="46" t="n"/>
      <c r="B75" s="46" t="n"/>
      <c r="C75" s="47" t="n"/>
      <c r="D75" s="46" t="n"/>
    </row>
    <row r="76">
      <c r="A76" s="46" t="n"/>
      <c r="B76" s="46" t="n"/>
      <c r="C76" s="47" t="n"/>
      <c r="D76" s="46" t="n"/>
    </row>
    <row r="77">
      <c r="A77" s="46" t="n"/>
      <c r="B77" s="46" t="n"/>
      <c r="C77" s="47" t="n"/>
      <c r="D77" s="46" t="n"/>
    </row>
    <row r="78">
      <c r="A78" s="46" t="n"/>
      <c r="B78" s="46" t="n"/>
      <c r="C78" s="47" t="n"/>
      <c r="D78" s="46" t="n"/>
    </row>
    <row r="79">
      <c r="A79" s="46" t="n"/>
      <c r="B79" s="46" t="n"/>
      <c r="C79" s="47" t="n"/>
      <c r="D79" s="46" t="n"/>
    </row>
    <row r="80">
      <c r="A80" s="46" t="n"/>
      <c r="B80" s="46" t="n"/>
      <c r="C80" s="47" t="n"/>
      <c r="D80" s="46" t="n"/>
    </row>
    <row r="81">
      <c r="A81" s="46" t="n"/>
      <c r="B81" s="46" t="n"/>
      <c r="C81" s="47" t="n"/>
      <c r="D81" s="46" t="n"/>
    </row>
    <row r="82">
      <c r="A82" s="46" t="n"/>
      <c r="B82" s="46" t="n"/>
      <c r="C82" s="47" t="n"/>
      <c r="D82" s="46" t="n"/>
    </row>
    <row r="83">
      <c r="A83" s="46" t="n"/>
      <c r="B83" s="46" t="n"/>
      <c r="C83" s="47" t="n"/>
      <c r="D83" s="46" t="n"/>
    </row>
    <row r="84">
      <c r="A84" s="46" t="n"/>
      <c r="B84" s="46" t="n"/>
      <c r="C84" s="47" t="n"/>
      <c r="D84" s="46" t="n"/>
    </row>
    <row r="85">
      <c r="A85" s="46" t="n"/>
      <c r="B85" s="46" t="n"/>
      <c r="C85" s="47" t="n"/>
      <c r="D85" s="46" t="n"/>
    </row>
    <row r="86">
      <c r="A86" s="46" t="n"/>
      <c r="B86" s="46" t="n"/>
      <c r="C86" s="47" t="n"/>
      <c r="D86" s="46" t="n"/>
    </row>
    <row r="87">
      <c r="A87" s="46" t="n"/>
      <c r="B87" s="46" t="n"/>
      <c r="C87" s="47" t="n"/>
      <c r="D87" s="46" t="n"/>
    </row>
    <row r="88">
      <c r="A88" s="46" t="n"/>
      <c r="B88" s="46" t="n"/>
      <c r="C88" s="47" t="n"/>
      <c r="D88" s="46" t="n"/>
    </row>
    <row r="89">
      <c r="A89" s="46" t="n"/>
      <c r="B89" s="46" t="n"/>
      <c r="C89" s="47" t="n"/>
      <c r="D89" s="46" t="n"/>
    </row>
    <row r="90">
      <c r="A90" s="46" t="n"/>
      <c r="B90" s="46" t="n"/>
      <c r="C90" s="47" t="n"/>
      <c r="D90" s="46" t="n"/>
    </row>
    <row r="91">
      <c r="A91" s="46" t="n"/>
      <c r="B91" s="46" t="n"/>
      <c r="C91" s="47" t="n"/>
      <c r="D91" s="46" t="n"/>
    </row>
    <row r="92">
      <c r="A92" s="46" t="n"/>
      <c r="B92" s="46" t="n"/>
      <c r="C92" s="47" t="n"/>
      <c r="D92" s="46" t="n"/>
    </row>
    <row r="93">
      <c r="A93" s="46" t="n"/>
      <c r="B93" s="46" t="n"/>
      <c r="C93" s="47" t="n"/>
      <c r="D93" s="46" t="n"/>
    </row>
    <row r="94">
      <c r="A94" s="46" t="n"/>
      <c r="B94" s="46" t="n"/>
      <c r="C94" s="47" t="n"/>
      <c r="D94" s="46" t="n"/>
    </row>
    <row r="95">
      <c r="A95" s="46" t="n"/>
      <c r="B95" s="46" t="n"/>
      <c r="C95" s="47" t="n"/>
      <c r="D95" s="46" t="n"/>
    </row>
    <row r="96">
      <c r="A96" s="46" t="n"/>
      <c r="B96" s="46" t="n"/>
      <c r="C96" s="47" t="n"/>
      <c r="D96" s="46" t="n"/>
    </row>
    <row r="97">
      <c r="A97" s="46" t="n"/>
      <c r="B97" s="46" t="n"/>
      <c r="C97" s="47" t="n"/>
      <c r="D97" s="46" t="n"/>
    </row>
    <row r="98">
      <c r="A98" s="46" t="n"/>
      <c r="B98" s="46" t="n"/>
      <c r="C98" s="47" t="n"/>
      <c r="D98" s="46" t="n"/>
    </row>
    <row r="99">
      <c r="A99" s="46" t="n"/>
      <c r="B99" s="46" t="n"/>
      <c r="C99" s="47" t="n"/>
      <c r="D99" s="46" t="n"/>
    </row>
    <row r="100">
      <c r="A100" s="46" t="n"/>
      <c r="B100" s="46" t="n"/>
      <c r="C100" s="47" t="n"/>
      <c r="D100" s="46" t="n"/>
    </row>
    <row r="101">
      <c r="A101" s="46" t="n"/>
      <c r="B101" s="46" t="n"/>
      <c r="C101" s="47" t="n"/>
      <c r="D101" s="46" t="n"/>
    </row>
    <row r="102">
      <c r="A102" s="46" t="n"/>
      <c r="B102" s="46" t="n"/>
      <c r="C102" s="47" t="n"/>
      <c r="D102" s="46" t="n"/>
    </row>
    <row r="103">
      <c r="A103" s="46" t="n"/>
      <c r="B103" s="46" t="n"/>
      <c r="C103" s="47" t="n"/>
      <c r="D103" s="46" t="n"/>
    </row>
    <row r="104">
      <c r="A104" s="46" t="n"/>
      <c r="B104" s="46" t="n"/>
      <c r="C104" s="47" t="n"/>
      <c r="D104" s="46" t="n"/>
    </row>
    <row r="105">
      <c r="A105" s="46" t="n"/>
      <c r="B105" s="46" t="n"/>
      <c r="C105" s="47" t="n"/>
      <c r="D105" s="46" t="n"/>
    </row>
    <row r="106">
      <c r="A106" s="46" t="n"/>
      <c r="B106" s="46" t="n"/>
      <c r="C106" s="47" t="n"/>
      <c r="D106" s="46" t="n"/>
    </row>
    <row r="107">
      <c r="A107" s="46" t="n"/>
      <c r="B107" s="46" t="n"/>
      <c r="C107" s="47" t="n"/>
      <c r="D107" s="46" t="n"/>
    </row>
    <row r="108">
      <c r="A108" s="46" t="n"/>
      <c r="B108" s="46" t="n"/>
      <c r="C108" s="47" t="n"/>
      <c r="D108" s="46" t="n"/>
    </row>
    <row r="109">
      <c r="A109" s="46" t="n"/>
      <c r="B109" s="46" t="n"/>
      <c r="C109" s="47" t="n"/>
      <c r="D109" s="46" t="n"/>
    </row>
    <row r="110">
      <c r="A110" s="46" t="n"/>
      <c r="B110" s="46" t="n"/>
      <c r="C110" s="47" t="n"/>
      <c r="D110" s="46" t="n"/>
    </row>
    <row r="111">
      <c r="A111" s="46" t="n"/>
      <c r="B111" s="46" t="n"/>
      <c r="C111" s="47" t="n"/>
      <c r="D111" s="46" t="n"/>
    </row>
    <row r="112">
      <c r="A112" s="46" t="n"/>
      <c r="B112" s="46" t="n"/>
      <c r="C112" s="47" t="n"/>
      <c r="D112" s="46" t="n"/>
    </row>
    <row r="113">
      <c r="A113" s="46" t="n"/>
      <c r="B113" s="46" t="n"/>
      <c r="C113" s="47" t="n"/>
      <c r="D113" s="46" t="n"/>
    </row>
    <row r="114">
      <c r="A114" s="46" t="n"/>
      <c r="B114" s="46" t="n"/>
      <c r="C114" s="47" t="n"/>
      <c r="D114" s="46" t="n"/>
    </row>
    <row r="115">
      <c r="A115" s="46" t="n"/>
      <c r="B115" s="46" t="n"/>
      <c r="C115" s="47" t="n"/>
      <c r="D115" s="46" t="n"/>
    </row>
    <row r="116">
      <c r="A116" s="46" t="n"/>
      <c r="B116" s="46" t="n"/>
      <c r="C116" s="47" t="n"/>
      <c r="D116" s="46" t="n"/>
    </row>
    <row r="117">
      <c r="A117" s="46" t="n"/>
      <c r="B117" s="46" t="n"/>
      <c r="C117" s="47" t="n"/>
      <c r="D117" s="46" t="n"/>
    </row>
    <row r="118">
      <c r="A118" s="46" t="n"/>
      <c r="B118" s="46" t="n"/>
      <c r="C118" s="47" t="n"/>
      <c r="D118" s="46" t="n"/>
    </row>
    <row r="119">
      <c r="A119" s="46" t="n"/>
      <c r="B119" s="46" t="n"/>
      <c r="C119" s="47" t="n"/>
      <c r="D119" s="46" t="n"/>
    </row>
    <row r="120">
      <c r="A120" s="46" t="n"/>
      <c r="B120" s="46" t="n"/>
      <c r="C120" s="47" t="n"/>
      <c r="D120" s="46" t="n"/>
    </row>
    <row r="121">
      <c r="A121" s="46" t="n"/>
      <c r="B121" s="46" t="n"/>
      <c r="C121" s="47" t="n"/>
      <c r="D121" s="46" t="n"/>
    </row>
    <row r="122">
      <c r="A122" s="46" t="n"/>
      <c r="B122" s="46" t="n"/>
      <c r="C122" s="47" t="n"/>
      <c r="D122" s="46" t="n"/>
    </row>
    <row r="123">
      <c r="A123" s="46" t="n"/>
      <c r="B123" s="46" t="n"/>
      <c r="C123" s="47" t="n"/>
      <c r="D123" s="46" t="n"/>
    </row>
    <row r="124">
      <c r="A124" s="46" t="n"/>
      <c r="B124" s="46" t="n"/>
      <c r="C124" s="47" t="n"/>
      <c r="D124" s="46" t="n"/>
    </row>
    <row r="125">
      <c r="A125" s="46" t="n"/>
      <c r="B125" s="46" t="n"/>
      <c r="C125" s="47" t="n"/>
      <c r="D125" s="46" t="n"/>
    </row>
    <row r="126">
      <c r="A126" s="46" t="n"/>
      <c r="B126" s="46" t="n"/>
      <c r="C126" s="47" t="n"/>
      <c r="D126" s="46" t="n"/>
    </row>
    <row r="127">
      <c r="A127" s="46" t="n"/>
      <c r="B127" s="46" t="n"/>
      <c r="C127" s="47" t="n"/>
      <c r="D127" s="46" t="n"/>
    </row>
    <row r="128">
      <c r="A128" s="46" t="n"/>
      <c r="B128" s="46" t="n"/>
      <c r="C128" s="47" t="n"/>
      <c r="D128" s="46" t="n"/>
    </row>
    <row r="129">
      <c r="A129" s="46" t="n"/>
      <c r="B129" s="26" t="n"/>
      <c r="C129" s="47" t="n"/>
      <c r="D129" s="46" t="n"/>
    </row>
    <row r="130">
      <c r="A130" s="46" t="n"/>
      <c r="B130" s="46" t="n"/>
      <c r="C130" s="47" t="n"/>
      <c r="D130" s="46" t="n"/>
    </row>
    <row r="131">
      <c r="A131" s="46" t="n"/>
      <c r="B131" s="46" t="n"/>
      <c r="C131" s="47" t="n"/>
      <c r="D131" s="46" t="n"/>
    </row>
    <row r="132">
      <c r="A132" s="46" t="n"/>
      <c r="B132" s="46" t="inlineStr">
        <is>
          <t>EXPERTS &amp; CONSEILS</t>
        </is>
      </c>
      <c r="C132" s="47" t="n">
        <v>60</v>
      </c>
      <c r="D132" s="46" t="n"/>
    </row>
    <row r="133">
      <c r="A133" s="46" t="inlineStr">
        <is>
          <t>FRS0000567</t>
        </is>
      </c>
      <c r="B133" s="46" t="inlineStr">
        <is>
          <t>SRM-SM ELECTRICITRE</t>
        </is>
      </c>
      <c r="C133" s="47" t="n">
        <v>25</v>
      </c>
      <c r="D133" s="46" t="n"/>
    </row>
    <row r="134">
      <c r="A134" s="46" t="inlineStr">
        <is>
          <t>FRS0000567</t>
        </is>
      </c>
      <c r="B134" s="46" t="inlineStr">
        <is>
          <t>SRM-SM ELECTRICITRE 1</t>
        </is>
      </c>
      <c r="C134" s="47" t="n">
        <v>23</v>
      </c>
      <c r="D134" s="46" t="n"/>
    </row>
    <row r="135">
      <c r="A135" s="46" t="inlineStr">
        <is>
          <t>FRS0000567</t>
        </is>
      </c>
      <c r="B135" s="46" t="inlineStr">
        <is>
          <t>SRM-SM ELECTRICITRE 2</t>
        </is>
      </c>
      <c r="C135" s="47" t="n">
        <v>30</v>
      </c>
      <c r="D135" s="46" t="n"/>
    </row>
    <row r="136">
      <c r="A136" s="46" t="n"/>
      <c r="B136" s="46" t="inlineStr">
        <is>
          <t>TECHNIQUE LASER</t>
        </is>
      </c>
      <c r="C136" s="47" t="n">
        <v>60</v>
      </c>
      <c r="D136" s="46" t="n"/>
    </row>
    <row r="137">
      <c r="A137" s="46" t="n"/>
      <c r="B137" s="46" t="n"/>
      <c r="C137" s="47" t="n"/>
      <c r="D137" s="46" t="n"/>
    </row>
    <row r="138">
      <c r="A138" s="46" t="n"/>
      <c r="B138" s="46" t="n"/>
      <c r="C138" s="47" t="n"/>
      <c r="D138" s="46" t="n"/>
    </row>
    <row r="139">
      <c r="A139" s="46" t="n"/>
      <c r="B139" s="46" t="n"/>
      <c r="C139" s="47" t="n"/>
      <c r="D139" s="46" t="n"/>
    </row>
    <row r="140">
      <c r="A140" s="46" t="n"/>
      <c r="B140" s="46" t="n"/>
      <c r="C140" s="47" t="n"/>
      <c r="D140" s="46" t="n"/>
    </row>
  </sheetData>
  <sheetProtection selectLockedCells="1" selectUnlockedCells="0" algorithmName="SHA-512" sheet="1" objects="1" insertRows="0" insertHyperlinks="1" autoFilter="0" scenarios="1" formatColumns="1" deleteColumns="1" insertColumns="1" pivotTables="1" deleteRows="1" formatCells="1" saltValue="94FhLWOYsR0oeRI+mC9Ijg==" formatRows="1" sort="0" spinCount="100000" hashValue="T8CES6Vm9gU/kIDdt6ayUu08KSAmJjkmmzP/XqmFkE4TUNCBR/F/Q+kmf1JVJS/mHP9Ns6hBiXwful+rkEIblA=="/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K8" sqref="K8:K15"/>
    </sheetView>
  </sheetViews>
  <sheetFormatPr baseColWidth="10" defaultRowHeight="14.5"/>
  <cols>
    <col width="10.1796875" bestFit="1" customWidth="1" min="2" max="2"/>
    <col width="13.453125" bestFit="1" customWidth="1" min="3" max="3"/>
    <col width="32.7265625" bestFit="1" customWidth="1" min="4" max="4"/>
    <col width="18.81640625" bestFit="1" customWidth="1" min="5" max="5"/>
    <col width="12.1796875" bestFit="1" customWidth="1" min="6" max="6"/>
    <col width="28.26953125" bestFit="1" customWidth="1" min="7" max="7"/>
    <col width="15.54296875" bestFit="1" customWidth="1" min="8" max="8"/>
    <col width="16.7265625" bestFit="1" customWidth="1" min="9" max="9"/>
    <col width="29" bestFit="1" customWidth="1" min="10" max="10"/>
    <col width="21.26953125" bestFit="1" customWidth="1" min="11" max="11"/>
    <col width="92.453125" bestFit="1" customWidth="1" min="12" max="12"/>
  </cols>
  <sheetData>
    <row r="1"/>
    <row r="2"/>
    <row r="3"/>
    <row r="4"/>
    <row r="5"/>
    <row r="6">
      <c r="B6" s="86" t="inlineStr">
        <is>
          <t>N° Facture</t>
        </is>
      </c>
      <c r="C6" s="86" t="inlineStr">
        <is>
          <t>Date Livraison</t>
        </is>
      </c>
      <c r="D6" s="86" t="inlineStr">
        <is>
          <t>Date Facture/pièce (y compris FNP)</t>
        </is>
      </c>
      <c r="E6" s="86" t="inlineStr">
        <is>
          <t>Fournisseur</t>
        </is>
      </c>
      <c r="F6" s="86" t="inlineStr">
        <is>
          <t>Montant TTC</t>
        </is>
      </c>
      <c r="G6" s="87" t="inlineStr">
        <is>
          <t>Délai Convenu / Par défaut</t>
        </is>
      </c>
      <c r="H6" s="87" t="inlineStr">
        <is>
          <t>Date Échéance</t>
        </is>
      </c>
      <c r="I6" s="87" t="inlineStr">
        <is>
          <t>Jours de Retard</t>
        </is>
      </c>
      <c r="J6" s="87" t="inlineStr">
        <is>
          <t>Statut</t>
        </is>
      </c>
      <c r="K6" s="86" t="inlineStr">
        <is>
          <t>Date Paiement Effectif</t>
        </is>
      </c>
      <c r="L6" s="86" t="inlineStr">
        <is>
          <t>Observations</t>
        </is>
      </c>
    </row>
    <row r="7">
      <c r="B7" s="85" t="n">
        <v>50282</v>
      </c>
      <c r="C7" s="85" t="n">
        <v>46049</v>
      </c>
      <c r="D7" s="25" t="n">
        <v>46053</v>
      </c>
      <c r="E7" s="85" t="inlineStr">
        <is>
          <t>KASP</t>
        </is>
      </c>
      <c r="F7" s="85" t="n">
        <v>200</v>
      </c>
      <c r="G7" s="2" t="n">
        <v>5</v>
      </c>
      <c r="H7" s="7" t="n">
        <v>46053</v>
      </c>
      <c r="I7" s="9" t="n">
        <v>0</v>
      </c>
      <c r="J7" s="9" t="inlineStr">
        <is>
          <t>OK RAS</t>
        </is>
      </c>
      <c r="K7" s="25" t="n">
        <v>46053</v>
      </c>
      <c r="L7" s="85" t="inlineStr">
        <is>
          <t>CHANGEMENT DE NBR JR DELAI PAIEMENT ET MANQUE DE PIECE JUSTIFICATIF DE PAIEMENT</t>
        </is>
      </c>
    </row>
    <row r="8">
      <c r="B8" s="85" t="n">
        <v>56043346</v>
      </c>
      <c r="C8" s="85" t="n">
        <v>46109</v>
      </c>
      <c r="D8" s="25" t="n">
        <v>46109</v>
      </c>
      <c r="E8" s="85" t="inlineStr">
        <is>
          <t>SRM-SM EAU</t>
        </is>
      </c>
      <c r="F8" s="85" t="n">
        <v>643.95</v>
      </c>
      <c r="G8" s="2" t="n">
        <v>27</v>
      </c>
      <c r="H8" s="7" t="n">
        <v>46135</v>
      </c>
      <c r="I8" s="9" t="inlineStr">
        <is>
          <t xml:space="preserve"> </t>
        </is>
      </c>
      <c r="J8" s="9" t="inlineStr">
        <is>
          <t>Non encore payée</t>
        </is>
      </c>
      <c r="K8" s="85" t="n"/>
      <c r="L8" s="85" t="inlineStr">
        <is>
          <t>CHANGEMENT DE DATE FACT ET LIVRAISON + CHANGEMENT DE NBR DE JR DELAI PAIEMENT</t>
        </is>
      </c>
    </row>
    <row r="9">
      <c r="B9" s="70" t="inlineStr">
        <is>
          <t>26FC0031</t>
        </is>
      </c>
      <c r="C9" s="25" t="n">
        <v>46045</v>
      </c>
      <c r="D9" s="25" t="n">
        <v>46045</v>
      </c>
      <c r="E9" s="26" t="inlineStr">
        <is>
          <t>A2CIM</t>
        </is>
      </c>
      <c r="F9" s="67" t="n">
        <v>2520</v>
      </c>
      <c r="G9" s="2" t="n">
        <v>1</v>
      </c>
      <c r="H9" s="7" t="n">
        <v>46045</v>
      </c>
      <c r="I9" s="9" t="n"/>
      <c r="J9" s="9" t="inlineStr">
        <is>
          <t>Attention, paiement hors délais</t>
        </is>
      </c>
      <c r="K9" s="25" t="n">
        <v>46045</v>
      </c>
      <c r="L9" s="26" t="inlineStr">
        <is>
          <t>CHANGEMENT DE NBR JR DELAI PAIEMENT</t>
        </is>
      </c>
    </row>
    <row r="10">
      <c r="B10" s="70" t="n">
        <v>11971</v>
      </c>
      <c r="C10" s="25" t="n">
        <v>46069</v>
      </c>
      <c r="D10" s="25" t="n">
        <v>46069</v>
      </c>
      <c r="E10" s="26" t="inlineStr">
        <is>
          <t>IFM ELECTRONIC 2</t>
        </is>
      </c>
      <c r="F10" s="67" t="n">
        <v>173.87</v>
      </c>
      <c r="G10" s="2" t="n">
        <v>44</v>
      </c>
      <c r="H10" s="7" t="n">
        <v>46112</v>
      </c>
      <c r="I10" s="8" t="inlineStr">
        <is>
          <t xml:space="preserve"> </t>
        </is>
      </c>
      <c r="J10" s="9" t="inlineStr">
        <is>
          <t>Non encore payée</t>
        </is>
      </c>
      <c r="K10" s="31" t="n"/>
      <c r="L10" s="26" t="inlineStr">
        <is>
          <t>CHANGEMENT DE NBR JR DELAI PAIEMENT</t>
        </is>
      </c>
    </row>
    <row r="11">
      <c r="B11" s="70" t="inlineStr">
        <is>
          <t>26/00225</t>
        </is>
      </c>
      <c r="C11" s="25" t="n">
        <v>46056</v>
      </c>
      <c r="D11" s="25" t="n">
        <v>46056</v>
      </c>
      <c r="E11" s="46" t="inlineStr">
        <is>
          <t>LASER OUHOUD</t>
        </is>
      </c>
      <c r="F11" s="67" t="n">
        <v>90720</v>
      </c>
      <c r="G11" s="2">
        <f>+IF(Tableau1[[#This Row],[Fournisseur]]="","",IFERROR(VLOOKUP(Tableau1[[#This Row],[Fournisseur]],SuiviFrs,2,FALSE),"Vérifier la syntaxe : Fournisseur introuvable au niveau du suivi des conventions"))</f>
        <v/>
      </c>
      <c r="H11" s="7">
        <f>++IF(Tableau1[[#This Row],[Fournisseur]]="","",C11+G11-1)</f>
        <v/>
      </c>
      <c r="I11" s="8">
        <f>++IF(Tableau1[[#This Row],[Fournisseur]]="","",IF(H11-Tableau1[[#This Row],[Date Paiement Effectif]]&gt;0," ",H11-Tableau1[[#This Row],[Date Paiement Effectif]]))</f>
        <v/>
      </c>
      <c r="J11" s="9">
        <f>++IF(Tableau1[[#This Row],[Fournisseur]]="","",IF(Tableau1[[#This Row],[Date Paiement Effectif]]="","Non encore payée",IF(I11&lt;0,"Attention, paiement hors délais","OK RAS")))</f>
        <v/>
      </c>
      <c r="K11" s="54" t="n">
        <v>46177</v>
      </c>
      <c r="L11" s="26" t="inlineStr">
        <is>
          <t>LA DATE DE LIVRAISON PAS CONVENABLE</t>
        </is>
      </c>
    </row>
    <row r="12">
      <c r="B12" s="70" t="n">
        <v>2600290</v>
      </c>
      <c r="C12" s="25" t="n">
        <v>46077</v>
      </c>
      <c r="D12" s="25" t="n">
        <v>46077</v>
      </c>
      <c r="E12" s="46" t="inlineStr">
        <is>
          <t>TECHNIQUE DECOUPE LASER 2</t>
        </is>
      </c>
      <c r="F12" s="67" t="n">
        <v>106585.2</v>
      </c>
      <c r="G12" s="2" t="n">
        <v>121</v>
      </c>
      <c r="H12" s="7">
        <f>++IF(Tableau1[[#This Row],[Fournisseur]]="","",C12+G12-1)</f>
        <v/>
      </c>
      <c r="I12" s="8">
        <f>++IF(Tableau1[[#This Row],[Fournisseur]]="","",IF(H12-Tableau1[[#This Row],[Date Paiement Effectif]]&gt;0," ",H12-Tableau1[[#This Row],[Date Paiement Effectif]]))</f>
        <v/>
      </c>
      <c r="J12" s="9">
        <f>++IF(Tableau1[[#This Row],[Fournisseur]]="","",IF(Tableau1[[#This Row],[Date Paiement Effectif]]="","Non encore payée",IF(I12&lt;0,"Attention, paiement hors délais","OK RAS")))</f>
        <v/>
      </c>
      <c r="K12" s="54" t="n">
        <v>46197</v>
      </c>
      <c r="L12" s="26" t="inlineStr">
        <is>
          <t>CHANGEMENT DE NBR JR DELAI PAIEMENT</t>
        </is>
      </c>
    </row>
    <row r="13">
      <c r="B13" s="85" t="inlineStr">
        <is>
          <t>26/084</t>
        </is>
      </c>
      <c r="C13" s="25" t="n">
        <v>46088</v>
      </c>
      <c r="D13" s="25" t="n">
        <v>46097</v>
      </c>
      <c r="E13" s="85" t="inlineStr">
        <is>
          <t>PPRIME 1</t>
        </is>
      </c>
      <c r="F13" s="85" t="n">
        <v>210000</v>
      </c>
      <c r="G13" s="2" t="n">
        <v>60</v>
      </c>
      <c r="H13" s="7" t="n">
        <v>46147</v>
      </c>
      <c r="I13" s="8" t="inlineStr">
        <is>
          <t xml:space="preserve"> </t>
        </is>
      </c>
      <c r="J13" s="9" t="inlineStr">
        <is>
          <t>Non encore payée</t>
        </is>
      </c>
      <c r="K13" s="85" t="n"/>
      <c r="L13" s="26" t="inlineStr">
        <is>
          <t xml:space="preserve"> PAS DE DATE ECHEANCE DANS LA FACTURE ALORS 60 J PAS 90</t>
        </is>
      </c>
    </row>
    <row r="14">
      <c r="B14" s="85" t="inlineStr">
        <is>
          <t>003/2026</t>
        </is>
      </c>
      <c r="C14" s="25" t="n">
        <v>46058</v>
      </c>
      <c r="D14" s="25" t="n">
        <v>46058</v>
      </c>
      <c r="E14" s="85" t="inlineStr">
        <is>
          <t>TIGHZA BAT</t>
        </is>
      </c>
      <c r="F14" s="85" t="n">
        <v>200160</v>
      </c>
      <c r="G14" s="2" t="n">
        <v>60</v>
      </c>
      <c r="H14" s="7" t="n">
        <v>46117</v>
      </c>
      <c r="I14" s="8" t="inlineStr">
        <is>
          <t xml:space="preserve"> </t>
        </is>
      </c>
      <c r="J14" s="9" t="inlineStr">
        <is>
          <t>OK RAS</t>
        </is>
      </c>
      <c r="K14" s="54" t="n">
        <v>45370</v>
      </c>
      <c r="L14" s="26" t="inlineStr">
        <is>
          <t>PAS DE BON DE LIVRAISON</t>
        </is>
      </c>
    </row>
    <row r="15">
      <c r="B15" s="85" t="n">
        <v>20260034</v>
      </c>
      <c r="C15" s="25" t="n">
        <v>46022</v>
      </c>
      <c r="D15" s="25" t="n">
        <v>46059</v>
      </c>
      <c r="E15" s="85" t="inlineStr">
        <is>
          <t>DSM TECHNOLOGIE</t>
        </is>
      </c>
      <c r="F15" s="85" t="n">
        <v>2520</v>
      </c>
      <c r="G15" s="2" t="n">
        <v>120</v>
      </c>
      <c r="H15" s="7" t="n">
        <v>46141</v>
      </c>
      <c r="I15" s="8" t="inlineStr">
        <is>
          <t xml:space="preserve"> </t>
        </is>
      </c>
      <c r="J15" s="9" t="inlineStr">
        <is>
          <t>Non encore payée</t>
        </is>
      </c>
      <c r="K15" s="85" t="n"/>
      <c r="L15" s="88" t="inlineStr">
        <is>
          <t xml:space="preserve">2 BON DE LIVRAISON </t>
        </is>
      </c>
    </row>
    <row r="16">
      <c r="B16" s="85" t="n">
        <v>631542437</v>
      </c>
      <c r="C16" s="25" t="n">
        <v>46053</v>
      </c>
      <c r="D16" s="25" t="n">
        <v>46065</v>
      </c>
      <c r="E16" s="85" t="inlineStr">
        <is>
          <t>SRM-SM ELECTRICITRE 1</t>
        </is>
      </c>
      <c r="F16" s="85" t="n">
        <v>23783.09</v>
      </c>
      <c r="G16" s="2" t="n">
        <v>33</v>
      </c>
      <c r="H16" s="7" t="n">
        <v>46085</v>
      </c>
      <c r="I16" s="8" t="n">
        <v>-3</v>
      </c>
      <c r="J16" s="9" t="inlineStr">
        <is>
          <t>Attention, paiement hors délais</t>
        </is>
      </c>
      <c r="K16" s="25" t="n">
        <v>46088</v>
      </c>
      <c r="L16" s="26" t="inlineStr">
        <is>
          <t>CHANGEMENT DE NBR JR DELAI PAIEMENT + CHANGEMENT DATE LIVRAISON</t>
        </is>
      </c>
    </row>
    <row r="17">
      <c r="B17" s="85" t="inlineStr">
        <is>
          <t>001/2026</t>
        </is>
      </c>
      <c r="C17" s="25" t="n">
        <v>46097</v>
      </c>
      <c r="D17" s="25" t="n">
        <v>46093</v>
      </c>
      <c r="E17" s="85" t="inlineStr">
        <is>
          <t>UBER TRUCK</t>
        </is>
      </c>
      <c r="F17" s="85" t="n">
        <v>19956</v>
      </c>
      <c r="G17" s="2" t="n">
        <v>60</v>
      </c>
      <c r="H17" s="7" t="n">
        <v>46156</v>
      </c>
      <c r="I17" s="8" t="inlineStr">
        <is>
          <t xml:space="preserve"> </t>
        </is>
      </c>
      <c r="J17" s="9" t="inlineStr">
        <is>
          <t>Non encore payée</t>
        </is>
      </c>
      <c r="K17" s="25" t="n"/>
      <c r="L17" s="26" t="inlineStr">
        <is>
          <t>IL A MENTIONNE NON PAYE ALORS QUE CEST PAYE + LES BL NE SONT PAS DANS LE MEME MOIS</t>
        </is>
      </c>
    </row>
  </sheetData>
  <pageMargins left="0.7" right="0.7" top="0.75" bottom="0.75" header="0.3" footer="0.3"/>
  <pageSetup orientation="portrait" paperSize="9" horizontalDpi="360" verticalDpi="36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K25" sqref="K25"/>
    </sheetView>
  </sheetViews>
  <sheetFormatPr baseColWidth="10" defaultRowHeight="14.5"/>
  <cols>
    <col width="10.7265625" bestFit="1" customWidth="1" min="1" max="1"/>
    <col width="11.54296875" bestFit="1" customWidth="1" min="2" max="2"/>
    <col width="27.54296875" bestFit="1" customWidth="1" min="3" max="3"/>
  </cols>
  <sheetData>
    <row r="1"/>
    <row r="2"/>
    <row r="3"/>
    <row r="4"/>
    <row r="5">
      <c r="A5" s="70" t="n">
        <v>11971</v>
      </c>
      <c r="B5" s="25" t="n">
        <v>46069</v>
      </c>
      <c r="C5" s="26" t="inlineStr">
        <is>
          <t>IFM ELECTRONIC</t>
        </is>
      </c>
      <c r="D5" s="67" t="n">
        <v>173.87</v>
      </c>
    </row>
    <row r="6">
      <c r="A6" s="70" t="inlineStr">
        <is>
          <t>26FC0031</t>
        </is>
      </c>
      <c r="B6" s="25" t="n">
        <v>46045</v>
      </c>
      <c r="C6" s="26" t="inlineStr">
        <is>
          <t>A2CIM</t>
        </is>
      </c>
      <c r="D6" s="67" t="n">
        <v>2520</v>
      </c>
    </row>
    <row r="7">
      <c r="A7" s="70" t="n">
        <v>50282</v>
      </c>
      <c r="B7" s="25" t="n">
        <v>46053</v>
      </c>
      <c r="C7" s="46" t="inlineStr">
        <is>
          <t>KASP</t>
        </is>
      </c>
      <c r="D7" s="67" t="n">
        <v>200</v>
      </c>
    </row>
    <row r="8">
      <c r="A8" s="70" t="n">
        <v>56043346</v>
      </c>
      <c r="B8" s="25" t="n">
        <v>46081</v>
      </c>
      <c r="C8" s="46" t="inlineStr">
        <is>
          <t>SRM-SM EAU</t>
        </is>
      </c>
      <c r="D8" s="68" t="n">
        <v>643.95</v>
      </c>
    </row>
    <row r="9">
      <c r="A9" s="70" t="inlineStr">
        <is>
          <t>26/00225</t>
        </is>
      </c>
      <c r="B9" s="25" t="n">
        <v>46056</v>
      </c>
      <c r="C9" s="46" t="inlineStr">
        <is>
          <t>LASER OUHOUD</t>
        </is>
      </c>
      <c r="D9" s="67" t="n">
        <v>90720</v>
      </c>
    </row>
    <row r="10">
      <c r="A10" s="70" t="n">
        <v>299081</v>
      </c>
      <c r="B10" s="25" t="n">
        <v>46063</v>
      </c>
      <c r="C10" s="46" t="inlineStr">
        <is>
          <t>CIQS</t>
        </is>
      </c>
      <c r="D10" s="67" t="n">
        <v>131788.8</v>
      </c>
    </row>
    <row r="11">
      <c r="A11" s="70" t="n">
        <v>2600290</v>
      </c>
      <c r="B11" s="25" t="n">
        <v>46077</v>
      </c>
      <c r="C11" s="26" t="inlineStr">
        <is>
          <t>TECHNIQUE DECOUPE LASER</t>
        </is>
      </c>
      <c r="D11" s="67" t="n">
        <v>106585.2</v>
      </c>
    </row>
    <row r="12">
      <c r="A12" s="70" t="inlineStr">
        <is>
          <t>372/26</t>
        </is>
      </c>
      <c r="B12" s="25" t="n">
        <v>46070</v>
      </c>
      <c r="C12" s="26" t="inlineStr">
        <is>
          <t>CHAHIR INOX</t>
        </is>
      </c>
      <c r="D12" s="67" t="n">
        <v>114696</v>
      </c>
    </row>
    <row r="13">
      <c r="A13" s="70" t="inlineStr">
        <is>
          <t>26/084</t>
        </is>
      </c>
      <c r="B13" s="25" t="n">
        <v>46097</v>
      </c>
      <c r="C13" s="26" t="inlineStr">
        <is>
          <t>PPRIME</t>
        </is>
      </c>
      <c r="D13" s="67" t="n">
        <v>210000</v>
      </c>
    </row>
    <row r="14">
      <c r="A14" s="70" t="inlineStr">
        <is>
          <t>003/2026</t>
        </is>
      </c>
      <c r="B14" s="25" t="n">
        <v>46058</v>
      </c>
      <c r="C14" s="26" t="inlineStr">
        <is>
          <t>TIGHZA BAT</t>
        </is>
      </c>
      <c r="D14" s="67" t="n">
        <v>200160</v>
      </c>
    </row>
    <row r="15">
      <c r="A15" s="70" t="n">
        <v>20260034</v>
      </c>
      <c r="B15" s="25" t="n">
        <v>46059</v>
      </c>
      <c r="C15" s="26" t="inlineStr">
        <is>
          <t>DSM TECHNOLOGIE</t>
        </is>
      </c>
      <c r="D15" s="67" t="n">
        <v>2520</v>
      </c>
    </row>
    <row r="16">
      <c r="A16" s="70" t="n">
        <v>126020137</v>
      </c>
      <c r="B16" s="25" t="n">
        <v>46073</v>
      </c>
      <c r="C16" s="26" t="inlineStr">
        <is>
          <t>FLOSIT</t>
        </is>
      </c>
      <c r="D16" s="67" t="n">
        <v>15828</v>
      </c>
    </row>
    <row r="17">
      <c r="A17" s="70" t="n">
        <v>2602094</v>
      </c>
      <c r="B17" s="25" t="n">
        <v>46081</v>
      </c>
      <c r="C17" s="26" t="inlineStr">
        <is>
          <t>COPIMEC</t>
        </is>
      </c>
      <c r="D17" s="67" t="n">
        <v>6511.2</v>
      </c>
    </row>
    <row r="18">
      <c r="A18" s="70" t="n">
        <v>2602080</v>
      </c>
      <c r="B18" s="25" t="n">
        <v>46081</v>
      </c>
      <c r="C18" s="26" t="inlineStr">
        <is>
          <t>EQUITAS</t>
        </is>
      </c>
      <c r="D18" s="67" t="n">
        <v>10428</v>
      </c>
    </row>
    <row r="19">
      <c r="A19" s="70" t="inlineStr">
        <is>
          <t>2025-104</t>
        </is>
      </c>
      <c r="B19" s="25" t="n">
        <v>46024</v>
      </c>
      <c r="C19" s="26" t="inlineStr">
        <is>
          <t>ABRA-TRDE</t>
        </is>
      </c>
      <c r="D19" s="67" t="n">
        <v>2846.4</v>
      </c>
    </row>
    <row r="20">
      <c r="A20" s="70" t="n">
        <v>631542437</v>
      </c>
      <c r="B20" s="25" t="n">
        <v>46065</v>
      </c>
      <c r="C20" s="46" t="inlineStr">
        <is>
          <t>SRM-SM ELECTRICITRE 1</t>
        </is>
      </c>
      <c r="D20" s="67" t="n">
        <v>23783.09</v>
      </c>
    </row>
    <row r="21">
      <c r="A21" s="70" t="inlineStr">
        <is>
          <t>001/2026</t>
        </is>
      </c>
      <c r="B21" s="25" t="n">
        <v>46093</v>
      </c>
      <c r="C21" s="26" t="inlineStr">
        <is>
          <t>UBER TRUCK</t>
        </is>
      </c>
      <c r="D21" s="67" t="n">
        <v>19956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Soukaina</dc:creator>
  <dcterms:created xmlns:dcterms="http://purl.org/dc/terms/" xmlns:xsi="http://www.w3.org/2001/XMLSchema-instance" xsi:type="dcterms:W3CDTF">2025-12-29T09:23:41Z</dcterms:created>
  <dcterms:modified xmlns:dcterms="http://purl.org/dc/terms/" xmlns:xsi="http://www.w3.org/2001/XMLSchema-instance" xsi:type="dcterms:W3CDTF">2026-06-05T11:33:19Z</dcterms:modified>
  <cp:lastModifiedBy>Pc</cp:lastModifiedBy>
  <cp:lastPrinted>2026-04-10T08:38:16Z</cp:lastPrinted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0x010100439E804E5FBC2D459239315DA42AB252</vt:lpwstr>
  </property>
  <property name="ComplianceAssetId" fmtid="{D5CDD505-2E9C-101B-9397-08002B2CF9AE}" pid="4">
    <vt:lpwstr xmlns:vt="http://schemas.openxmlformats.org/officeDocument/2006/docPropsVTypes"/>
  </property>
  <property name="_ExtendedDescription" fmtid="{D5CDD505-2E9C-101B-9397-08002B2CF9AE}" pid="5">
    <vt:lpwstr xmlns:vt="http://schemas.openxmlformats.org/officeDocument/2006/docPropsVTypes"/>
  </property>
  <property name="TriggerFlowInfo" fmtid="{D5CDD505-2E9C-101B-9397-08002B2CF9AE}" pid="6">
    <vt:lpwstr xmlns:vt="http://schemas.openxmlformats.org/officeDocument/2006/docPropsVTypes"/>
  </property>
</Properties>
</file>